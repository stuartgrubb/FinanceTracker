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d.docs.live.net/93fc1f52b252b611/Finance/Finance Trackers/Development/Releases/v1.0/"/>
    </mc:Choice>
  </mc:AlternateContent>
  <xr:revisionPtr revIDLastSave="2909" documentId="13_ncr:1_{39CB7D40-F041-4224-85E8-ACA1E2CA1B49}" xr6:coauthVersionLast="47" xr6:coauthVersionMax="47" xr10:uidLastSave="{FA404F4C-70EC-4227-8668-F59422B81FD0}"/>
  <bookViews>
    <workbookView xWindow="-120" yWindow="-120" windowWidth="38640" windowHeight="21120" activeTab="1" xr2:uid="{00000000-000D-0000-FFFF-FFFF00000000}"/>
  </bookViews>
  <sheets>
    <sheet name="Welcome" sheetId="6" r:id="rId1"/>
    <sheet name="Budget Tracker" sheetId="1" r:id="rId2"/>
    <sheet name="Data" sheetId="59" state="hidden" r:id="rId3"/>
    <sheet name="Keystone" sheetId="58" state="hidden" r:id="rId4"/>
    <sheet name="Monthly Figures" sheetId="9" state="hidden"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9" l="1"/>
  <c r="B9" i="9"/>
  <c r="B8" i="9"/>
  <c r="B7" i="9"/>
  <c r="B5" i="9"/>
  <c r="B4" i="9"/>
  <c r="B3" i="9"/>
  <c r="F3" i="9" l="1"/>
  <c r="F2" i="9"/>
  <c r="F4" i="9"/>
  <c r="B10" i="9"/>
  <c r="F5" i="9" s="1"/>
  <c r="G5" i="9" l="1"/>
  <c r="G4" i="9"/>
  <c r="G2" i="9"/>
  <c r="G3" i="9"/>
</calcChain>
</file>

<file path=xl/sharedStrings.xml><?xml version="1.0" encoding="utf-8"?>
<sst xmlns="http://schemas.openxmlformats.org/spreadsheetml/2006/main" count="65" uniqueCount="56">
  <si>
    <t>Income</t>
  </si>
  <si>
    <t>Mortgage</t>
  </si>
  <si>
    <t>Credit Cards</t>
  </si>
  <si>
    <t>Loans</t>
  </si>
  <si>
    <t>Savings Accounts</t>
  </si>
  <si>
    <t>Investments</t>
  </si>
  <si>
    <t>Income:</t>
  </si>
  <si>
    <t>Amount:</t>
  </si>
  <si>
    <t>Mortgage:</t>
  </si>
  <si>
    <t>APR%</t>
  </si>
  <si>
    <t>Repayment:</t>
  </si>
  <si>
    <t>Credit Card:</t>
  </si>
  <si>
    <t>Loan:</t>
  </si>
  <si>
    <t>Savings Acc:</t>
  </si>
  <si>
    <t>Investments:</t>
  </si>
  <si>
    <t>Name</t>
  </si>
  <si>
    <t>Type</t>
  </si>
  <si>
    <t>APR</t>
  </si>
  <si>
    <t>Visibility</t>
  </si>
  <si>
    <t>Bill:</t>
  </si>
  <si>
    <t>Bills</t>
  </si>
  <si>
    <t xml:space="preserve">Github: </t>
  </si>
  <si>
    <t>Stuart Grubb</t>
  </si>
  <si>
    <t>Author:</t>
  </si>
  <si>
    <t>Date</t>
  </si>
  <si>
    <t>About:</t>
  </si>
  <si>
    <t>How-To:</t>
  </si>
  <si>
    <t>Category</t>
  </si>
  <si>
    <t>Amount</t>
  </si>
  <si>
    <t>%</t>
  </si>
  <si>
    <t>Income Total:</t>
  </si>
  <si>
    <t>Living Expenses:</t>
  </si>
  <si>
    <t>Debt:</t>
  </si>
  <si>
    <t>Savings &amp; Investments:</t>
  </si>
  <si>
    <t>Mortgage Total:</t>
  </si>
  <si>
    <t>Date Selected:</t>
  </si>
  <si>
    <t xml:space="preserve"> </t>
  </si>
  <si>
    <t>Bill Total:</t>
  </si>
  <si>
    <t>Credit Card Total:</t>
  </si>
  <si>
    <t>SavingAcc Total:</t>
  </si>
  <si>
    <t>Loan Total:</t>
  </si>
  <si>
    <t>Investment Total:</t>
  </si>
  <si>
    <t>Leftover Balance:</t>
  </si>
  <si>
    <t>Theme:</t>
  </si>
  <si>
    <t>Remaining Balance:</t>
  </si>
  <si>
    <t>Blue</t>
  </si>
  <si>
    <t>https://github.com/stuartgrubb/FinanceTracker/</t>
  </si>
  <si>
    <t>v1.0</t>
  </si>
  <si>
    <t>Version:</t>
  </si>
  <si>
    <t>Getting Started Guide</t>
  </si>
  <si>
    <t>Data:</t>
  </si>
  <si>
    <t>Guide:</t>
  </si>
  <si>
    <t xml:space="preserve">This Excel workbook is designed to help you manage your finances on a monthly basis.
Deliberate expense tracking can help you to identify where your money is allocated and enables you to make informed decisions to optimise your financial position.
Macros must be enabled to allow the automated functions to work. 
These functions have been developed using VBA and all code contained within this spreadsheet is publicly available on Github for anyone to review.
</t>
  </si>
  <si>
    <t xml:space="preserve">
See the 'Getting Started Guide' linked above for a detailed walkthrough.
1. On the 'Budget Tracker' sheet, use the buttons in each section to add an income source, bills, credit cards, etc.
2. Click the start button to select a month/year.
3. Enter the figures for each category (income source, bill etc).
4. You will be presented with your remaining balance and insights into percentage spent on each category.
5. Click Save when finished.
</t>
  </si>
  <si>
    <r>
      <t xml:space="preserve">All data is stored locally in this spreadsheet on </t>
    </r>
    <r>
      <rPr>
        <u/>
        <sz val="11"/>
        <color theme="1"/>
        <rFont val="Calibri"/>
        <family val="2"/>
        <scheme val="minor"/>
      </rPr>
      <t>your</t>
    </r>
    <r>
      <rPr>
        <sz val="11"/>
        <color theme="1"/>
        <rFont val="Calibri"/>
        <family val="2"/>
        <scheme val="minor"/>
      </rPr>
      <t xml:space="preserve"> device within the hidden "Keystone" and "Data sheets.
You can view the raw data by either unhiding those sheets or by exporting a copy: Start → Options → Export Data</t>
    </r>
  </si>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</sst>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11">
    <font>
      <sz val="11"/>
      <color theme="1"/>
      <name val="Calibri"/>
      <family val="2"/>
      <scheme val="minor"/>
    </font>
    <font>
      <b/>
      <sz val="15"/>
      <color theme="3"/>
      <name val="Calibri"/>
      <family val="2"/>
      <scheme val="minor"/>
    </font>
    <font>
      <b/>
      <sz val="11"/>
      <color theme="1"/>
      <name val="Calibri"/>
      <family val="2"/>
      <scheme val="minor"/>
    </font>
    <font>
      <sz val="20"/>
      <color theme="3"/>
      <name val="Calibri Light"/>
      <family val="2"/>
      <scheme val="major"/>
    </font>
    <font>
      <b/>
      <sz val="12"/>
      <color theme="1"/>
      <name val="Calibri"/>
      <family val="2"/>
      <scheme val="minor"/>
    </font>
    <font>
      <sz val="12"/>
      <color theme="1"/>
      <name val="Calibri"/>
      <family val="2"/>
      <scheme val="minor"/>
    </font>
    <font>
      <sz val="10"/>
      <color theme="1"/>
      <name val="Arial Unicode MS"/>
    </font>
    <font>
      <b/>
      <sz val="20"/>
      <color theme="3"/>
      <name val="Calibri Light"/>
      <family val="2"/>
      <scheme val="major"/>
    </font>
    <font>
      <u/>
      <sz val="11"/>
      <color theme="1"/>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theme="0"/>
        <bgColor indexed="64"/>
      </patternFill>
    </fill>
    <fill>
      <patternFill patternType="solid">
        <fgColor theme="4" tint="0.59999389629810485"/>
        <bgColor indexed="64"/>
      </patternFill>
    </fill>
  </fills>
  <borders count="9">
    <border>
      <left/>
      <right/>
      <top/>
      <bottom/>
      <diagonal/>
    </border>
    <border>
      <left/>
      <right/>
      <top/>
      <bottom style="thick">
        <color theme="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rgb="FF4DB1F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0" borderId="1" applyNumberFormat="0" applyFill="0" applyAlignment="0" applyProtection="0"/>
    <xf numFmtId="0" fontId="9" fillId="0" borderId="0" applyNumberFormat="0" applyFill="0" applyBorder="0" applyAlignment="0" applyProtection="0"/>
  </cellStyleXfs>
  <cellXfs count="39">
    <xf numFmtId="0" fontId="0" fillId="0" borderId="0" xfId="0"/>
    <xf numFmtId="44" fontId="0" fillId="0" borderId="0" xfId="0" applyNumberFormat="1"/>
    <xf numFmtId="0" fontId="2" fillId="0" borderId="0" xfId="0" applyFont="1"/>
    <xf numFmtId="44" fontId="5" fillId="0" borderId="0" xfId="0" applyNumberFormat="1" applyFont="1"/>
    <xf numFmtId="44" fontId="4" fillId="0" borderId="2" xfId="0" applyNumberFormat="1" applyFont="1" applyBorder="1"/>
    <xf numFmtId="44" fontId="4" fillId="0" borderId="3" xfId="0" applyNumberFormat="1" applyFont="1" applyBorder="1"/>
    <xf numFmtId="44" fontId="4" fillId="0" borderId="5" xfId="0" applyNumberFormat="1" applyFont="1" applyBorder="1"/>
    <xf numFmtId="0" fontId="0" fillId="0" borderId="0" xfId="0" applyAlignment="1">
      <alignment horizontal="left"/>
    </xf>
    <xf numFmtId="44" fontId="6" fillId="0" borderId="0" xfId="0" applyNumberFormat="1" applyFont="1" applyAlignment="1">
      <alignment vertical="center"/>
    </xf>
    <xf numFmtId="0" fontId="4" fillId="0" borderId="4" xfId="0" applyFont="1" applyBorder="1"/>
    <xf numFmtId="0" fontId="0" fillId="0" borderId="0" xfId="0" applyAlignment="1">
      <alignment vertical="center"/>
    </xf>
    <xf numFmtId="0" fontId="0" fillId="0" borderId="0" xfId="0" applyAlignment="1">
      <alignment horizontal="left" vertical="center"/>
    </xf>
    <xf numFmtId="0" fontId="5" fillId="0" borderId="0" xfId="0" applyFont="1" applyAlignment="1">
      <alignment horizontal="right"/>
    </xf>
    <xf numFmtId="17" fontId="2" fillId="0" borderId="0" xfId="0" applyNumberFormat="1" applyFont="1"/>
    <xf numFmtId="0" fontId="2" fillId="0" borderId="0" xfId="0" applyFont="1" applyAlignment="1">
      <alignment horizontal="center"/>
    </xf>
    <xf numFmtId="44" fontId="0" fillId="0" borderId="0" xfId="0" applyNumberFormat="1" applyAlignment="1">
      <alignment horizontal="center"/>
    </xf>
    <xf numFmtId="10" fontId="0" fillId="0" borderId="0" xfId="0" applyNumberFormat="1" applyAlignment="1">
      <alignment horizontal="center"/>
    </xf>
    <xf numFmtId="0" fontId="0" fillId="0" borderId="0" xfId="0" applyAlignment="1">
      <alignment horizontal="center"/>
    </xf>
    <xf numFmtId="0" fontId="4" fillId="0" borderId="0" xfId="0" applyFont="1" applyAlignment="1">
      <alignment horizontal="center"/>
    </xf>
    <xf numFmtId="44" fontId="0" fillId="0" borderId="0" xfId="0" applyNumberFormat="1" applyAlignment="1">
      <alignment horizontal="center" vertical="center"/>
    </xf>
    <xf numFmtId="44" fontId="0" fillId="0" borderId="0" xfId="0" quotePrefix="1" applyNumberFormat="1"/>
    <xf numFmtId="44" fontId="0" fillId="0" borderId="0" xfId="0" applyNumberFormat="1" applyAlignment="1">
      <alignment vertical="center"/>
    </xf>
    <xf numFmtId="0" fontId="9" fillId="0" borderId="0" xfId="2" applyAlignment="1">
      <alignment horizontal="left"/>
    </xf>
    <xf numFmtId="0" fontId="3" fillId="0" borderId="6" xfId="1" applyFont="1" applyBorder="1" applyAlignment="1">
      <alignment horizontal="left" vertical="center" indent="5"/>
    </xf>
    <xf numFmtId="0" fontId="7" fillId="0" borderId="6" xfId="1" applyFont="1" applyBorder="1" applyAlignment="1">
      <alignment vertical="center"/>
    </xf>
    <xf numFmtId="0" fontId="3" fillId="0" borderId="6" xfId="1" applyFont="1" applyBorder="1" applyAlignment="1">
      <alignment horizontal="left" vertical="center" indent="3"/>
    </xf>
    <xf numFmtId="17" fontId="3" fillId="0" borderId="6" xfId="1" applyNumberFormat="1" applyFont="1" applyBorder="1" applyAlignment="1">
      <alignment vertical="center"/>
    </xf>
    <xf numFmtId="17" fontId="3" fillId="0" borderId="6" xfId="1" applyNumberFormat="1" applyFont="1" applyBorder="1" applyAlignment="1">
      <alignment horizontal="left" vertical="center"/>
    </xf>
    <xf numFmtId="17" fontId="0" fillId="0" borderId="0" xfId="0" applyNumberFormat="1"/>
    <xf numFmtId="0" fontId="0" fillId="0" borderId="0" xfId="0" applyAlignment="1">
      <alignment horizontal="left" wrapText="1"/>
    </xf>
    <xf numFmtId="0" fontId="0" fillId="2" borderId="0" xfId="0" applyFill="1" applyAlignment="1">
      <alignment horizontal="left" vertical="center"/>
    </xf>
    <xf numFmtId="0" fontId="0" fillId="2" borderId="0" xfId="0" applyFill="1" applyAlignment="1">
      <alignment horizontal="left" wrapText="1"/>
    </xf>
    <xf numFmtId="0" fontId="0" fillId="2" borderId="0" xfId="0" applyFill="1"/>
    <xf numFmtId="0" fontId="0" fillId="3" borderId="8" xfId="0" applyFill="1" applyBorder="1" applyAlignment="1">
      <alignment horizontal="left" wrapText="1"/>
    </xf>
    <xf numFmtId="0" fontId="0" fillId="3" borderId="8" xfId="0" applyFill="1" applyBorder="1" applyAlignment="1">
      <alignment vertical="center" wrapText="1"/>
    </xf>
    <xf numFmtId="0" fontId="2" fillId="3" borderId="7" xfId="0" applyFont="1" applyFill="1" applyBorder="1" applyAlignment="1">
      <alignment horizontal="center" vertical="center"/>
    </xf>
    <xf numFmtId="0" fontId="2" fillId="0" borderId="0" xfId="0" applyFont="1" applyAlignment="1">
      <alignment horizontal="left" vertical="center"/>
    </xf>
    <xf numFmtId="0" fontId="3" fillId="0" borderId="6" xfId="1" applyFont="1" applyBorder="1" applyAlignment="1">
      <alignment horizontal="center" vertical="center"/>
    </xf>
    <xf numFmtId="44" fontId="3" fillId="0" borderId="6" xfId="1" applyNumberFormat="1" applyFont="1" applyBorder="1" applyAlignment="1">
      <alignment horizontal="center" vertical="center"/>
    </xf>
  </cellXfs>
  <cellStyles count="3">
    <cellStyle name="Heading 1" xfId="1" builtinId="16"/>
    <cellStyle name="Hyperlink" xfId="2" builtinId="8"/>
    <cellStyle name="Normal" xfId="0" builtinId="0"/>
  </cellStyles>
  <dxfs count="46">
    <dxf>
      <font>
        <color rgb="FF006100"/>
      </font>
      <fill>
        <patternFill>
          <bgColor rgb="FFC6EFCE"/>
        </patternFill>
      </fill>
    </dxf>
    <dxf>
      <font>
        <color rgb="FF9C0006"/>
      </font>
      <fill>
        <patternFill>
          <bgColor rgb="FFFFC7CE"/>
        </patternFill>
      </fill>
    </dxf>
    <dxf>
      <font>
        <b val="0"/>
      </font>
      <numFmt numFmtId="34" formatCode="_-&quot;£&quot;* #,##0.00_-;\-&quot;£&quot;* #,##0.00_-;_-&quot;£&quot;* &quot;-&quot;??_-;_-@_-"/>
      <fill>
        <patternFill patternType="none">
          <fgColor indexed="64"/>
          <bgColor indexed="65"/>
        </patternFill>
      </fill>
    </dxf>
    <dxf>
      <font>
        <b val="0"/>
      </font>
      <numFmt numFmtId="34" formatCode="_-&quot;£&quot;* #,##0.00_-;\-&quot;£&quot;* #,##0.00_-;_-&quot;£&quot;* &quot;-&quot;??_-;_-@_-"/>
    </dxf>
    <dxf>
      <border diagonalUp="0" diagonalDown="0">
        <left style="thin">
          <color indexed="64"/>
        </left>
        <right style="thin">
          <color indexed="64"/>
        </right>
        <top style="thin">
          <color indexed="64"/>
        </top>
        <bottom style="thin">
          <color indexed="64"/>
        </bottom>
      </border>
    </dxf>
    <dxf>
      <font>
        <b val="0"/>
        <family val="2"/>
      </font>
      <numFmt numFmtId="34" formatCode="_-&quot;£&quot;* #,##0.00_-;\-&quot;£&quot;* #,##0.00_-;_-&quot;£&quot;* &quot;-&quot;??_-;_-@_-"/>
    </dxf>
    <dxf>
      <border outline="0">
        <bottom style="thin">
          <color indexed="64"/>
        </bottom>
      </border>
    </dxf>
    <dxf>
      <font>
        <b/>
        <i val="0"/>
        <strike val="0"/>
        <condense val="0"/>
        <extend val="0"/>
        <outline val="0"/>
        <shadow val="0"/>
        <u val="none"/>
        <vertAlign val="baseline"/>
        <sz val="12"/>
        <color theme="1"/>
        <name val="Calibri"/>
        <family val="2"/>
        <scheme val="minor"/>
      </font>
      <numFmt numFmtId="34" formatCode="_-&quot;£&quot;* #,##0.00_-;\-&quot;£&quot;* #,##0.00_-;_-&quot;£&quot;* &quot;-&quot;??_-;_-@_-"/>
      <border diagonalUp="0" diagonalDown="0" outline="0">
        <left style="thin">
          <color indexed="64"/>
        </left>
        <right style="thin">
          <color indexed="64"/>
        </right>
        <top/>
        <bottom/>
      </border>
    </dxf>
    <dxf>
      <font>
        <b val="0"/>
      </font>
      <numFmt numFmtId="34" formatCode="_-&quot;£&quot;* #,##0.00_-;\-&quot;£&quot;* #,##0.00_-;_-&quot;£&quot;*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2"/>
        <color theme="1"/>
        <name val="Calibri"/>
        <family val="2"/>
        <scheme val="minor"/>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font>
      <numFmt numFmtId="34" formatCode="_-&quot;£&quot;* #,##0.00_-;\-&quot;£&quot;* #,##0.00_-;_-&quot;£&quot;* &quot;-&quot;??_-;_-@_-"/>
      <fill>
        <patternFill patternType="none">
          <fgColor indexed="64"/>
          <bgColor indexed="65"/>
        </patternFill>
      </fill>
    </dxf>
    <dxf>
      <border diagonalUp="0" diagonalDown="0">
        <left style="thin">
          <color indexed="64"/>
        </left>
        <right style="thin">
          <color indexed="64"/>
        </right>
        <top style="thin">
          <color indexed="64"/>
        </top>
        <bottom style="thin">
          <color indexed="64"/>
        </bottom>
      </border>
    </dxf>
    <dxf>
      <font>
        <b val="0"/>
      </font>
    </dxf>
    <dxf>
      <border outline="0">
        <bottom style="thin">
          <color indexed="64"/>
        </bottom>
      </border>
    </dxf>
    <dxf>
      <font>
        <b val="0"/>
      </font>
      <numFmt numFmtId="34" formatCode="_-&quot;£&quot;* #,##0.00_-;\-&quot;£&quot;* #,##0.00_-;_-&quot;£&quot;* &quot;-&quot;??_-;_-@_-"/>
    </dxf>
    <dxf>
      <font>
        <b val="0"/>
      </font>
      <numFmt numFmtId="34" formatCode="_-&quot;£&quot;* #,##0.00_-;\-&quot;£&quot;* #,##0.00_-;_-&quot;£&quot;* &quot;-&quot;??_-;_-@_-"/>
    </dxf>
    <dxf>
      <border diagonalUp="0" diagonalDown="0">
        <left style="thin">
          <color indexed="64"/>
        </left>
        <right style="thin">
          <color indexed="64"/>
        </right>
        <top style="thin">
          <color indexed="64"/>
        </top>
        <bottom style="thin">
          <color indexed="64"/>
        </bottom>
      </border>
    </dxf>
    <dxf>
      <font>
        <b val="0"/>
      </font>
      <numFmt numFmtId="34" formatCode="_-&quot;£&quot;* #,##0.00_-;\-&quot;£&quot;* #,##0.00_-;_-&quot;£&quot;* &quot;-&quot;??_-;_-@_-"/>
    </dxf>
    <dxf>
      <border outline="0">
        <bottom style="thin">
          <color indexed="64"/>
        </bottom>
      </border>
    </dxf>
    <dxf>
      <font>
        <b/>
        <i val="0"/>
        <strike val="0"/>
        <condense val="0"/>
        <extend val="0"/>
        <outline val="0"/>
        <shadow val="0"/>
        <u val="none"/>
        <vertAlign val="baseline"/>
        <sz val="12"/>
        <color theme="1"/>
        <name val="Calibri"/>
        <family val="2"/>
        <scheme val="minor"/>
      </font>
      <numFmt numFmtId="34" formatCode="_-&quot;£&quot;* #,##0.00_-;\-&quot;£&quot;* #,##0.00_-;_-&quot;£&quot;* &quot;-&quot;??_-;_-@_-"/>
      <border diagonalUp="0" diagonalDown="0" outline="0">
        <left style="thin">
          <color indexed="64"/>
        </left>
        <right style="thin">
          <color indexed="64"/>
        </right>
        <top/>
        <bottom/>
      </border>
    </dxf>
    <dxf>
      <font>
        <b val="0"/>
      </font>
      <numFmt numFmtId="34" formatCode="_-&quot;£&quot;* #,##0.00_-;\-&quot;£&quot;* #,##0.00_-;_-&quot;£&quot;* &quot;-&quot;??_-;_-@_-"/>
      <fill>
        <patternFill patternType="none">
          <fgColor indexed="64"/>
          <bgColor indexed="65"/>
        </patternFill>
      </fill>
    </dxf>
    <dxf>
      <font>
        <b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bottom" textRotation="0" wrapText="0" indent="0" justifyLastLine="0" shrinkToFit="0" readingOrder="0"/>
    </dxf>
    <dxf>
      <font>
        <b val="0"/>
      </font>
      <numFmt numFmtId="34" formatCode="_-&quot;£&quot;* #,##0.00_-;\-&quot;£&quot;* #,##0.00_-;_-&quot;£&quot;* &quot;-&quot;??_-;_-@_-"/>
      <fill>
        <patternFill patternType="none">
          <bgColor auto="1"/>
        </patternFill>
      </fill>
    </dxf>
    <dxf>
      <border diagonalUp="0" diagonalDown="0">
        <left style="thin">
          <color indexed="64"/>
        </left>
        <right style="thin">
          <color indexed="64"/>
        </right>
        <top style="thin">
          <color indexed="64"/>
        </top>
        <bottom style="thin">
          <color indexed="64"/>
        </bottom>
      </border>
    </dxf>
    <dxf>
      <font>
        <b val="0"/>
      </font>
    </dxf>
    <dxf>
      <border outline="0">
        <bottom style="thin">
          <color indexed="64"/>
        </bottom>
      </border>
    </dxf>
    <dxf>
      <font>
        <b val="0"/>
      </font>
      <numFmt numFmtId="34" formatCode="_-&quot;£&quot;* #,##0.00_-;\-&quot;£&quot;* #,##0.00_-;_-&quot;£&quot;* &quot;-&quot;??_-;_-@_-"/>
      <fill>
        <patternFill patternType="none">
          <fgColor indexed="64"/>
          <bgColor indexed="65"/>
        </patternFill>
      </fill>
    </dxf>
    <dxf>
      <font>
        <b val="0"/>
      </font>
      <numFmt numFmtId="0" formatCode="General"/>
      <fill>
        <patternFill patternType="none">
          <fgColor indexed="64"/>
          <bgColor indexed="65"/>
        </patternFill>
      </fill>
      <alignment horizontal="right" vertical="bottom" textRotation="0" wrapText="0" indent="0" justifyLastLine="0" shrinkToFit="0" readingOrder="0"/>
    </dxf>
    <dxf>
      <font>
        <b val="0"/>
      </font>
      <numFmt numFmtId="34" formatCode="_-&quot;£&quot;* #,##0.00_-;\-&quot;£&quot;* #,##0.00_-;_-&quot;£&quot;* &quot;-&quot;??_-;_-@_-"/>
      <fill>
        <patternFill patternType="none">
          <bgColor auto="1"/>
        </patternFill>
      </fill>
    </dxf>
    <dxf>
      <border diagonalUp="0" diagonalDown="0">
        <left style="thin">
          <color indexed="64"/>
        </left>
        <right style="thin">
          <color indexed="64"/>
        </right>
        <top style="thin">
          <color indexed="64"/>
        </top>
        <bottom style="thin">
          <color indexed="64"/>
        </bottom>
      </border>
    </dxf>
    <dxf>
      <font>
        <b val="0"/>
      </font>
    </dxf>
    <dxf>
      <border outline="0">
        <bottom style="thin">
          <color indexed="64"/>
        </bottom>
      </border>
    </dxf>
    <dxf>
      <font>
        <b val="0"/>
      </font>
      <numFmt numFmtId="34" formatCode="_-&quot;£&quot;* #,##0.00_-;\-&quot;£&quot;* #,##0.00_-;_-&quot;£&quot;* &quot;-&quot;??_-;_-@_-"/>
    </dxf>
    <dxf>
      <font>
        <b val="0"/>
      </font>
      <numFmt numFmtId="34" formatCode="_-&quot;£&quot;* #,##0.00_-;\-&quot;£&quot;* #,##0.00_-;_-&quot;£&quot;* &quot;-&quot;??_-;_-@_-"/>
    </dxf>
    <dxf>
      <border diagonalUp="0" diagonalDown="0">
        <left style="thin">
          <color indexed="64"/>
        </left>
        <right style="thin">
          <color indexed="64"/>
        </right>
        <top style="thin">
          <color indexed="64"/>
        </top>
        <bottom style="thin">
          <color indexed="64"/>
        </bottom>
      </border>
    </dxf>
    <dxf>
      <font>
        <b val="0"/>
      </font>
      <numFmt numFmtId="34" formatCode="_-&quot;£&quot;* #,##0.00_-;\-&quot;£&quot;* #,##0.00_-;_-&quot;£&quot;* &quot;-&quot;??_-;_-@_-"/>
    </dxf>
    <dxf>
      <border>
        <bottom style="thin">
          <color indexed="64"/>
        </bottom>
      </border>
    </dxf>
    <dxf>
      <font>
        <b/>
        <i val="0"/>
        <strike val="0"/>
        <condense val="0"/>
        <extend val="0"/>
        <outline val="0"/>
        <shadow val="0"/>
        <u val="none"/>
        <vertAlign val="baseline"/>
        <sz val="12"/>
        <color theme="1"/>
        <name val="Calibri"/>
        <family val="2"/>
        <scheme val="minor"/>
      </font>
      <numFmt numFmtId="34" formatCode="_-&quot;£&quot;* #,##0.00_-;\-&quot;£&quot;* #,##0.00_-;_-&quot;£&quot;* &quot;-&quot;??_-;_-@_-"/>
      <border diagonalUp="0" diagonalDown="0" outline="0">
        <left style="thin">
          <color indexed="64"/>
        </left>
        <right style="thin">
          <color indexed="64"/>
        </right>
        <top/>
        <bottom/>
      </border>
    </dxf>
    <dxf>
      <font>
        <b val="0"/>
      </font>
      <numFmt numFmtId="34" formatCode="_-&quot;£&quot;* #,##0.00_-;\-&quot;£&quot;* #,##0.00_-;_-&quot;£&quot;* &quot;-&quot;??_-;_-@_-"/>
      <fill>
        <patternFill patternType="none">
          <fgColor indexed="64"/>
          <bgColor indexed="65"/>
        </patternFill>
      </fill>
    </dxf>
    <dxf>
      <font>
        <b val="0"/>
      </font>
      <numFmt numFmtId="34" formatCode="_-&quot;£&quot;* #,##0.00_-;\-&quot;£&quot;* #,##0.00_-;_-&quot;£&quot;* &quot;-&quot;??_-;_-@_-"/>
    </dxf>
    <dxf>
      <border diagonalUp="0" diagonalDown="0">
        <left style="thin">
          <color indexed="64"/>
        </left>
        <right style="thin">
          <color indexed="64"/>
        </right>
        <top style="thin">
          <color indexed="64"/>
        </top>
        <bottom style="thin">
          <color indexed="64"/>
        </bottom>
      </border>
    </dxf>
    <dxf>
      <font>
        <b val="0"/>
      </font>
      <numFmt numFmtId="34" formatCode="_-&quot;£&quot;* #,##0.00_-;\-&quot;£&quot;* #,##0.00_-;_-&quot;£&quot;* &quot;-&quot;??_-;_-@_-"/>
    </dxf>
    <dxf>
      <border>
        <bottom style="thin">
          <color indexed="64"/>
        </bottom>
      </border>
    </dxf>
    <dxf>
      <font>
        <b/>
        <i val="0"/>
        <strike val="0"/>
        <condense val="0"/>
        <extend val="0"/>
        <outline val="0"/>
        <shadow val="0"/>
        <u val="none"/>
        <vertAlign val="baseline"/>
        <sz val="12"/>
        <color theme="1"/>
        <name val="Calibri"/>
        <family val="2"/>
        <scheme val="minor"/>
      </font>
      <numFmt numFmtId="34" formatCode="_-&quot;£&quot;* #,##0.00_-;\-&quot;£&quot;* #,##0.00_-;_-&quot;£&quot;* &quot;-&quot;??_-;_-@_-"/>
      <border diagonalUp="0" diagonalDown="0" outline="0">
        <left style="thin">
          <color indexed="64"/>
        </left>
        <right style="thin">
          <color indexed="64"/>
        </right>
        <top/>
        <bottom/>
      </border>
    </dxf>
  </dxfs>
  <tableStyles count="0" defaultTableStyle="TableStyleMedium1" defaultPivotStyle="PivotStyleLight16"/>
  <colors>
    <mruColors>
      <color rgb="FF4171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0</xdr:col>
      <xdr:colOff>772783</xdr:colOff>
      <xdr:row>4</xdr:row>
      <xdr:rowOff>17972</xdr:rowOff>
    </xdr:to>
    <xdr:pic>
      <xdr:nvPicPr>
        <xdr:cNvPr id="4" name="Picture 3">
          <a:extLst>
            <a:ext uri="{FF2B5EF4-FFF2-40B4-BE49-F238E27FC236}">
              <a16:creationId xmlns:a16="http://schemas.microsoft.com/office/drawing/2014/main" id="{C408C2A6-2118-657F-09D8-DF66E4FC67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
          <a:ext cx="772782" cy="772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5013</xdr:colOff>
      <xdr:row>6</xdr:row>
      <xdr:rowOff>10026</xdr:rowOff>
    </xdr:from>
    <xdr:to>
      <xdr:col>17</xdr:col>
      <xdr:colOff>947487</xdr:colOff>
      <xdr:row>6</xdr:row>
      <xdr:rowOff>180474</xdr:rowOff>
    </xdr:to>
    <xdr:sp macro="[0]!LoanButton" textlink="">
      <xdr:nvSpPr>
        <xdr:cNvPr id="15" name="Button5">
          <a:extLst>
            <a:ext uri="{FF2B5EF4-FFF2-40B4-BE49-F238E27FC236}">
              <a16:creationId xmlns:a16="http://schemas.microsoft.com/office/drawing/2014/main" id="{8E6E0237-48AD-49BF-83FD-BD43AFBBC396}"/>
            </a:ext>
          </a:extLst>
        </xdr:cNvPr>
        <xdr:cNvSpPr/>
      </xdr:nvSpPr>
      <xdr:spPr>
        <a:xfrm>
          <a:off x="13234737" y="1473868"/>
          <a:ext cx="2331118" cy="170448"/>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a:t>
          </a:r>
          <a:r>
            <a:rPr lang="en-GB" sz="1400" b="1" baseline="0">
              <a:solidFill>
                <a:srgbClr val="FFFFFF"/>
              </a:solidFill>
            </a:rPr>
            <a:t> Loan</a:t>
          </a:r>
        </a:p>
      </xdr:txBody>
    </xdr:sp>
    <xdr:clientData/>
  </xdr:twoCellAnchor>
  <xdr:twoCellAnchor>
    <xdr:from>
      <xdr:col>4</xdr:col>
      <xdr:colOff>5013</xdr:colOff>
      <xdr:row>6</xdr:row>
      <xdr:rowOff>10026</xdr:rowOff>
    </xdr:from>
    <xdr:to>
      <xdr:col>5</xdr:col>
      <xdr:colOff>962526</xdr:colOff>
      <xdr:row>6</xdr:row>
      <xdr:rowOff>180474</xdr:rowOff>
    </xdr:to>
    <xdr:sp macro="[0]!BillButton" textlink="">
      <xdr:nvSpPr>
        <xdr:cNvPr id="2" name="Button2">
          <a:extLst>
            <a:ext uri="{FF2B5EF4-FFF2-40B4-BE49-F238E27FC236}">
              <a16:creationId xmlns:a16="http://schemas.microsoft.com/office/drawing/2014/main" id="{4262CAA6-94F1-4E1F-A089-3139CCF54317}"/>
            </a:ext>
          </a:extLst>
        </xdr:cNvPr>
        <xdr:cNvSpPr/>
      </xdr:nvSpPr>
      <xdr:spPr>
        <a:xfrm>
          <a:off x="4010526" y="1473868"/>
          <a:ext cx="2321092" cy="170448"/>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 Bill</a:t>
          </a:r>
        </a:p>
      </xdr:txBody>
    </xdr:sp>
    <xdr:clientData/>
  </xdr:twoCellAnchor>
  <xdr:twoCellAnchor>
    <xdr:from>
      <xdr:col>1</xdr:col>
      <xdr:colOff>0</xdr:colOff>
      <xdr:row>6</xdr:row>
      <xdr:rowOff>10025</xdr:rowOff>
    </xdr:from>
    <xdr:to>
      <xdr:col>3</xdr:col>
      <xdr:colOff>1001</xdr:colOff>
      <xdr:row>6</xdr:row>
      <xdr:rowOff>180474</xdr:rowOff>
    </xdr:to>
    <xdr:sp macro="[0]!IncomeButton" textlink="">
      <xdr:nvSpPr>
        <xdr:cNvPr id="3" name="Button1">
          <a:extLst>
            <a:ext uri="{FF2B5EF4-FFF2-40B4-BE49-F238E27FC236}">
              <a16:creationId xmlns:a16="http://schemas.microsoft.com/office/drawing/2014/main" id="{B3A097F5-A909-4B9A-9769-F79FC0B02DC9}"/>
            </a:ext>
          </a:extLst>
        </xdr:cNvPr>
        <xdr:cNvSpPr/>
      </xdr:nvSpPr>
      <xdr:spPr>
        <a:xfrm>
          <a:off x="1057776" y="1476875"/>
          <a:ext cx="2667500" cy="170449"/>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 Income</a:t>
          </a:r>
        </a:p>
      </xdr:txBody>
    </xdr:sp>
    <xdr:clientData/>
  </xdr:twoCellAnchor>
  <xdr:twoCellAnchor>
    <xdr:from>
      <xdr:col>10</xdr:col>
      <xdr:colOff>9524</xdr:colOff>
      <xdr:row>25</xdr:row>
      <xdr:rowOff>180975</xdr:rowOff>
    </xdr:from>
    <xdr:to>
      <xdr:col>15</xdr:col>
      <xdr:colOff>30955</xdr:colOff>
      <xdr:row>28</xdr:row>
      <xdr:rowOff>96206</xdr:rowOff>
    </xdr:to>
    <xdr:sp macro="[0]!SelectButton" textlink="">
      <xdr:nvSpPr>
        <xdr:cNvPr id="5" name="SelectBtn">
          <a:extLst>
            <a:ext uri="{FF2B5EF4-FFF2-40B4-BE49-F238E27FC236}">
              <a16:creationId xmlns:a16="http://schemas.microsoft.com/office/drawing/2014/main" id="{B92AE638-0C30-48BA-B07F-866FFD630DCA}"/>
            </a:ext>
          </a:extLst>
        </xdr:cNvPr>
        <xdr:cNvSpPr/>
      </xdr:nvSpPr>
      <xdr:spPr>
        <a:xfrm>
          <a:off x="9477374" y="5295900"/>
          <a:ext cx="3821906" cy="486731"/>
        </a:xfrm>
        <a:prstGeom prst="rect">
          <a:avLst/>
        </a:prstGeom>
        <a:solidFill>
          <a:srgbClr val="4DB1FF"/>
        </a:solidFill>
        <a:ln>
          <a:solidFill>
            <a:srgbClr val="41719C"/>
          </a:solidFill>
        </a:ln>
        <a:effectLst>
          <a:outerShdw blurRad="50800" dist="50800" dir="5400000" algn="ctr" rotWithShape="0">
            <a:schemeClr val="tx1">
              <a:alpha val="38000"/>
            </a:scheme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GB" sz="1400" b="1">
              <a:solidFill>
                <a:srgbClr val="FFFFFF"/>
              </a:solidFill>
            </a:rPr>
            <a:t>Start</a:t>
          </a:r>
        </a:p>
      </xdr:txBody>
    </xdr:sp>
    <xdr:clientData/>
  </xdr:twoCellAnchor>
  <xdr:twoCellAnchor>
    <xdr:from>
      <xdr:col>10</xdr:col>
      <xdr:colOff>9294</xdr:colOff>
      <xdr:row>29</xdr:row>
      <xdr:rowOff>3481</xdr:rowOff>
    </xdr:from>
    <xdr:to>
      <xdr:col>15</xdr:col>
      <xdr:colOff>30307</xdr:colOff>
      <xdr:row>31</xdr:row>
      <xdr:rowOff>4690</xdr:rowOff>
    </xdr:to>
    <xdr:sp macro="[0]!ButtonLogic.SaveButton" textlink="">
      <xdr:nvSpPr>
        <xdr:cNvPr id="6" name="SaveBtn" hidden="1">
          <a:extLst>
            <a:ext uri="{FF2B5EF4-FFF2-40B4-BE49-F238E27FC236}">
              <a16:creationId xmlns:a16="http://schemas.microsoft.com/office/drawing/2014/main" id="{8056624B-A71F-4911-B092-EF8C88490800}"/>
            </a:ext>
          </a:extLst>
        </xdr:cNvPr>
        <xdr:cNvSpPr/>
      </xdr:nvSpPr>
      <xdr:spPr>
        <a:xfrm>
          <a:off x="9477144" y="5880406"/>
          <a:ext cx="3821488" cy="382209"/>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Save</a:t>
          </a:r>
        </a:p>
      </xdr:txBody>
    </xdr:sp>
    <xdr:clientData/>
  </xdr:twoCellAnchor>
  <xdr:twoCellAnchor>
    <xdr:from>
      <xdr:col>11</xdr:col>
      <xdr:colOff>0</xdr:colOff>
      <xdr:row>6</xdr:row>
      <xdr:rowOff>10027</xdr:rowOff>
    </xdr:from>
    <xdr:to>
      <xdr:col>13</xdr:col>
      <xdr:colOff>942473</xdr:colOff>
      <xdr:row>6</xdr:row>
      <xdr:rowOff>180475</xdr:rowOff>
    </xdr:to>
    <xdr:sp macro="[0]!CreditCardButton" textlink="">
      <xdr:nvSpPr>
        <xdr:cNvPr id="14" name="Button4">
          <a:extLst>
            <a:ext uri="{FF2B5EF4-FFF2-40B4-BE49-F238E27FC236}">
              <a16:creationId xmlns:a16="http://schemas.microsoft.com/office/drawing/2014/main" id="{AB4C565E-418D-44A0-B331-F691034BD134}"/>
            </a:ext>
          </a:extLst>
        </xdr:cNvPr>
        <xdr:cNvSpPr/>
      </xdr:nvSpPr>
      <xdr:spPr>
        <a:xfrm>
          <a:off x="9936079" y="1473869"/>
          <a:ext cx="2777289" cy="170448"/>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 CC</a:t>
          </a:r>
        </a:p>
      </xdr:txBody>
    </xdr:sp>
    <xdr:clientData/>
  </xdr:twoCellAnchor>
  <xdr:twoCellAnchor>
    <xdr:from>
      <xdr:col>19</xdr:col>
      <xdr:colOff>1</xdr:colOff>
      <xdr:row>6</xdr:row>
      <xdr:rowOff>5013</xdr:rowOff>
    </xdr:from>
    <xdr:to>
      <xdr:col>20</xdr:col>
      <xdr:colOff>1188119</xdr:colOff>
      <xdr:row>6</xdr:row>
      <xdr:rowOff>185488</xdr:rowOff>
    </xdr:to>
    <xdr:sp macro="[0]!SavingAccButton" textlink="">
      <xdr:nvSpPr>
        <xdr:cNvPr id="17" name="Button6">
          <a:extLst>
            <a:ext uri="{FF2B5EF4-FFF2-40B4-BE49-F238E27FC236}">
              <a16:creationId xmlns:a16="http://schemas.microsoft.com/office/drawing/2014/main" id="{71E5CFF6-E677-4A39-A84B-CECB4F0A640B}"/>
            </a:ext>
          </a:extLst>
        </xdr:cNvPr>
        <xdr:cNvSpPr/>
      </xdr:nvSpPr>
      <xdr:spPr>
        <a:xfrm>
          <a:off x="16077198" y="1468855"/>
          <a:ext cx="2321092" cy="180475"/>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a:t>
          </a:r>
          <a:r>
            <a:rPr lang="en-GB" sz="1400" b="1" baseline="0">
              <a:solidFill>
                <a:srgbClr val="FFFFFF"/>
              </a:solidFill>
            </a:rPr>
            <a:t> Acc</a:t>
          </a:r>
        </a:p>
      </xdr:txBody>
    </xdr:sp>
    <xdr:clientData/>
  </xdr:twoCellAnchor>
  <xdr:twoCellAnchor>
    <xdr:from>
      <xdr:col>22</xdr:col>
      <xdr:colOff>5012</xdr:colOff>
      <xdr:row>6</xdr:row>
      <xdr:rowOff>10025</xdr:rowOff>
    </xdr:from>
    <xdr:to>
      <xdr:col>23</xdr:col>
      <xdr:colOff>1196915</xdr:colOff>
      <xdr:row>6</xdr:row>
      <xdr:rowOff>183310</xdr:rowOff>
    </xdr:to>
    <xdr:sp macro="[0]!InvestmentButton" textlink="">
      <xdr:nvSpPr>
        <xdr:cNvPr id="18" name="Button7">
          <a:extLst>
            <a:ext uri="{FF2B5EF4-FFF2-40B4-BE49-F238E27FC236}">
              <a16:creationId xmlns:a16="http://schemas.microsoft.com/office/drawing/2014/main" id="{3FF5E48D-D6C0-43EF-A9A6-76353DFB7794}"/>
            </a:ext>
          </a:extLst>
        </xdr:cNvPr>
        <xdr:cNvSpPr/>
      </xdr:nvSpPr>
      <xdr:spPr>
        <a:xfrm>
          <a:off x="18900455" y="1476516"/>
          <a:ext cx="2324120" cy="173285"/>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a:t>
          </a:r>
          <a:r>
            <a:rPr lang="en-GB" sz="1400" b="1" baseline="0">
              <a:solidFill>
                <a:srgbClr val="FFFFFF"/>
              </a:solidFill>
            </a:rPr>
            <a:t> Investment</a:t>
          </a:r>
        </a:p>
      </xdr:txBody>
    </xdr:sp>
    <xdr:clientData/>
  </xdr:twoCellAnchor>
  <xdr:twoCellAnchor>
    <xdr:from>
      <xdr:col>7</xdr:col>
      <xdr:colOff>5014</xdr:colOff>
      <xdr:row>6</xdr:row>
      <xdr:rowOff>5014</xdr:rowOff>
    </xdr:from>
    <xdr:to>
      <xdr:col>9</xdr:col>
      <xdr:colOff>967541</xdr:colOff>
      <xdr:row>6</xdr:row>
      <xdr:rowOff>185488</xdr:rowOff>
    </xdr:to>
    <xdr:sp macro="[0]!MortgageButton" textlink="">
      <xdr:nvSpPr>
        <xdr:cNvPr id="19" name="Button3">
          <a:extLst>
            <a:ext uri="{FF2B5EF4-FFF2-40B4-BE49-F238E27FC236}">
              <a16:creationId xmlns:a16="http://schemas.microsoft.com/office/drawing/2014/main" id="{C4CE714A-EEA0-47A1-A6E7-11AE80420003}"/>
            </a:ext>
          </a:extLst>
        </xdr:cNvPr>
        <xdr:cNvSpPr/>
      </xdr:nvSpPr>
      <xdr:spPr>
        <a:xfrm>
          <a:off x="6852988" y="1468856"/>
          <a:ext cx="2571750" cy="180474"/>
        </a:xfrm>
        <a:prstGeom prst="rect">
          <a:avLst/>
        </a:prstGeom>
        <a:solidFill>
          <a:srgbClr val="4DB1FF"/>
        </a:solidFill>
        <a:effectLst>
          <a:outerShdw blurRad="50800" dist="38100" dir="5400000" algn="t" rotWithShape="0">
            <a:prstClr val="black">
              <a:alpha val="3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rgbClr val="FFFFFF"/>
              </a:solidFill>
            </a:rPr>
            <a:t>Add/Edit</a:t>
          </a:r>
          <a:r>
            <a:rPr lang="en-GB" sz="1400" b="1" baseline="0">
              <a:solidFill>
                <a:srgbClr val="FFFFFF"/>
              </a:solidFill>
            </a:rPr>
            <a:t> Mortgage</a:t>
          </a:r>
        </a:p>
      </xdr:txBody>
    </xdr:sp>
    <xdr:clientData/>
  </xdr:twoCellAnchor>
  <mc:AlternateContent xmlns:mc="http://schemas.openxmlformats.org/markup-compatibility/2006">
    <mc:Choice xmlns:a14="http://schemas.microsoft.com/office/drawing/2010/main" Requires="a14">
      <xdr:twoCellAnchor>
        <xdr:from>
          <xdr:col>9</xdr:col>
          <xdr:colOff>450886</xdr:colOff>
          <xdr:row>31</xdr:row>
          <xdr:rowOff>107157</xdr:rowOff>
        </xdr:from>
        <xdr:to>
          <xdr:col>15</xdr:col>
          <xdr:colOff>571500</xdr:colOff>
          <xdr:row>39</xdr:row>
          <xdr:rowOff>95249</xdr:rowOff>
        </xdr:to>
        <xdr:pic>
          <xdr:nvPicPr>
            <xdr:cNvPr id="4" name="CategoryShape" hidden="1">
              <a:extLst>
                <a:ext uri="{FF2B5EF4-FFF2-40B4-BE49-F238E27FC236}">
                  <a16:creationId xmlns:a16="http://schemas.microsoft.com/office/drawing/2014/main" id="{9A024DE5-4991-4E79-A810-6444588D60BF}"/>
                </a:ext>
              </a:extLst>
            </xdr:cNvPr>
            <xdr:cNvPicPr>
              <a:picLocks noChangeAspect="1" noChangeArrowheads="1"/>
              <a:extLst>
                <a:ext uri="{84589F7E-364E-4C9E-8A38-B11213B215E9}">
                  <a14:cameraTool cellRange="'Monthly Figures'!E1:G5" spid="_x0000_s21916"/>
                </a:ext>
              </a:extLst>
            </xdr:cNvPicPr>
          </xdr:nvPicPr>
          <xdr:blipFill>
            <a:blip xmlns:r="http://schemas.openxmlformats.org/officeDocument/2006/relationships" r:embed="rId1"/>
            <a:srcRect/>
            <a:stretch>
              <a:fillRect/>
            </a:stretch>
          </xdr:blipFill>
          <xdr:spPr bwMode="auto">
            <a:xfrm>
              <a:off x="9309136" y="6393657"/>
              <a:ext cx="4895020" cy="151209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581025</xdr:colOff>
      <xdr:row>23</xdr:row>
      <xdr:rowOff>0</xdr:rowOff>
    </xdr:from>
    <xdr:to>
      <xdr:col>15</xdr:col>
      <xdr:colOff>169596</xdr:colOff>
      <xdr:row>25</xdr:row>
      <xdr:rowOff>54969</xdr:rowOff>
    </xdr:to>
    <xdr:grpSp>
      <xdr:nvGrpSpPr>
        <xdr:cNvPr id="10" name="RemainingBalanceGroup" hidden="1">
          <a:extLst>
            <a:ext uri="{FF2B5EF4-FFF2-40B4-BE49-F238E27FC236}">
              <a16:creationId xmlns:a16="http://schemas.microsoft.com/office/drawing/2014/main" id="{114980DC-1F06-4013-94CA-BD3B2B2EAD3F}"/>
            </a:ext>
          </a:extLst>
        </xdr:cNvPr>
        <xdr:cNvGrpSpPr/>
      </xdr:nvGrpSpPr>
      <xdr:grpSpPr>
        <a:xfrm>
          <a:off x="9439275" y="4733925"/>
          <a:ext cx="4360596" cy="435969"/>
          <a:chOff x="8081072" y="4343448"/>
          <a:chExt cx="4136587" cy="599514"/>
        </a:xfrm>
      </xdr:grpSpPr>
      <xdr:sp macro="" textlink="">
        <xdr:nvSpPr>
          <xdr:cNvPr id="11" name="Rectangle 10" hidden="1">
            <a:extLst>
              <a:ext uri="{FF2B5EF4-FFF2-40B4-BE49-F238E27FC236}">
                <a16:creationId xmlns:a16="http://schemas.microsoft.com/office/drawing/2014/main" id="{FC208C57-133F-F311-CA9B-4664485A9D8A}"/>
              </a:ext>
            </a:extLst>
          </xdr:cNvPr>
          <xdr:cNvSpPr/>
        </xdr:nvSpPr>
        <xdr:spPr>
          <a:xfrm>
            <a:off x="8081072" y="4368379"/>
            <a:ext cx="2187746" cy="562711"/>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800" b="1" i="0" u="none" strike="noStrike">
                <a:solidFill>
                  <a:srgbClr val="000000"/>
                </a:solidFill>
                <a:latin typeface="Calibri"/>
                <a:cs typeface="Calibri"/>
              </a:rPr>
              <a:t> Remaining Balance:</a:t>
            </a:r>
          </a:p>
        </xdr:txBody>
      </xdr:sp>
      <mc:AlternateContent xmlns:mc="http://schemas.openxmlformats.org/markup-compatibility/2006" xmlns:a14="http://schemas.microsoft.com/office/drawing/2010/main">
        <mc:Choice Requires="a14">
          <xdr:pic>
            <xdr:nvPicPr>
              <xdr:cNvPr id="12" name="Picture 11" hidden="1">
                <a:extLst>
                  <a:ext uri="{FF2B5EF4-FFF2-40B4-BE49-F238E27FC236}">
                    <a16:creationId xmlns:a16="http://schemas.microsoft.com/office/drawing/2014/main" id="{5EC6A177-B2A2-C642-67EA-92E3DEC67FED}"/>
                  </a:ext>
                </a:extLst>
              </xdr:cNvPr>
              <xdr:cNvPicPr>
                <a:picLocks noChangeAspect="1" noChangeArrowheads="1"/>
                <a:extLst>
                  <a:ext uri="{84589F7E-364E-4C9E-8A38-B11213B215E9}">
                    <a14:cameraTool cellRange="'Monthly Figures'!$B$10" spid="_x0000_s21917"/>
                  </a:ext>
                </a:extLst>
              </xdr:cNvPicPr>
            </xdr:nvPicPr>
            <xdr:blipFill>
              <a:blip xmlns:r="http://schemas.openxmlformats.org/officeDocument/2006/relationships" r:embed="rId2"/>
              <a:srcRect/>
              <a:stretch>
                <a:fillRect/>
              </a:stretch>
            </xdr:blipFill>
            <xdr:spPr bwMode="auto">
              <a:xfrm>
                <a:off x="10251854" y="4343448"/>
                <a:ext cx="1965805" cy="599514"/>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editAs="oneCell">
    <xdr:from>
      <xdr:col>15</xdr:col>
      <xdr:colOff>592333</xdr:colOff>
      <xdr:row>18</xdr:row>
      <xdr:rowOff>162368</xdr:rowOff>
    </xdr:from>
    <xdr:to>
      <xdr:col>19</xdr:col>
      <xdr:colOff>955495</xdr:colOff>
      <xdr:row>49</xdr:row>
      <xdr:rowOff>182338</xdr:rowOff>
    </xdr:to>
    <xdr:pic>
      <xdr:nvPicPr>
        <xdr:cNvPr id="22" name="Savings Rate to Retirement" hidden="1">
          <a:extLst>
            <a:ext uri="{FF2B5EF4-FFF2-40B4-BE49-F238E27FC236}">
              <a16:creationId xmlns:a16="http://schemas.microsoft.com/office/drawing/2014/main" id="{8B0EDC36-F1B3-98EE-749C-B9794151AF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60658" y="3943793"/>
          <a:ext cx="3211137" cy="5925470"/>
        </a:xfrm>
        <a:prstGeom prst="rect">
          <a:avLst/>
        </a:prstGeom>
        <a:noFill/>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995AAF-1A35-429C-A4FB-1822A3938FBB}" name="Income" displayName="Income" ref="B9:C10" insertRow="1" totalsRowShown="0" headerRowDxfId="45" dataDxfId="43" headerRowBorderDxfId="44" tableBorderDxfId="42">
  <tableColumns count="2">
    <tableColumn id="1" xr3:uid="{25AE001B-EC31-48A9-9BBB-B06AC1A94860}" name="Income:" dataDxfId="41" dataCellStyle="Normal"/>
    <tableColumn id="2" xr3:uid="{2858817E-70A6-4F7A-A397-4042AD200902}" name="Amount:" dataDxfId="40" dataCellStyle="Normal"/>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805A02-50CD-44F0-9091-E2675B05B6CE}" name="Bill" displayName="Bill" ref="E9:F10" insertRow="1" totalsRowShown="0" headerRowDxfId="39" dataDxfId="37" headerRowBorderDxfId="38" tableBorderDxfId="36">
  <tableColumns count="2">
    <tableColumn id="1" xr3:uid="{6DB542D5-D891-40EC-8492-9FBC121E0316}" name="Bill:" dataDxfId="35" dataCellStyle="Normal"/>
    <tableColumn id="2" xr3:uid="{18DDEF87-8849-4037-9901-4CF1F1264B27}" name="Amount:" dataDxfId="34" dataCellStyle="Norm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258EFD-1126-4298-9036-76253BF88748}" name="Mortgage" displayName="Mortgage" ref="H9:J10" insertRow="1" totalsRowShown="0" dataDxfId="32" headerRowBorderDxfId="33" tableBorderDxfId="31">
  <tableColumns count="3">
    <tableColumn id="1" xr3:uid="{2DA2CF13-BE72-42F3-B8FD-5F0CA6A9AA7B}" name="Mortgage:" dataDxfId="30" dataCellStyle="Normal"/>
    <tableColumn id="4" xr3:uid="{3BB41BC0-14B2-4F3C-AD5E-1DA335A63923}" name="APR%" dataDxfId="29"/>
    <tableColumn id="2" xr3:uid="{F605B22A-FF89-46FD-8F71-292F6199FD98}" name="Repayment:" dataDxfId="28" dataCellStyle="Normal"/>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083EFB-FF7C-4624-B549-E85F15BC01A2}" name="CreditCard" displayName="CreditCard" ref="L9:N10" insertRow="1" totalsRowShown="0" dataDxfId="26" headerRowBorderDxfId="27" tableBorderDxfId="25">
  <tableColumns count="3">
    <tableColumn id="1" xr3:uid="{2BAB7B4A-9984-45EC-BDBE-2BE22A82AC58}" name="Credit Card:" dataDxfId="24" dataCellStyle="Normal"/>
    <tableColumn id="4" xr3:uid="{5D95C136-FB04-4CA1-8896-4D7C59BDFABF}" name="APR%" dataDxfId="23"/>
    <tableColumn id="2" xr3:uid="{BD4E6F60-69A1-44CB-BEBA-343D9650D561}" name="Amount:" dataDxfId="22" dataCellStyle="Normal"/>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3492335-D8DD-48B6-8E7A-9C3E275A22B3}" name="SavingsAccount" displayName="SavingsAccount" ref="T9:U10" insertRow="1" totalsRowShown="0" headerRowDxfId="21" dataDxfId="19" headerRowBorderDxfId="20" tableBorderDxfId="18">
  <tableColumns count="2">
    <tableColumn id="1" xr3:uid="{E5A4A2E4-7FE0-4294-882E-3AE4BAAD4696}" name="Savings Acc:" dataDxfId="17" dataCellStyle="Normal"/>
    <tableColumn id="2" xr3:uid="{50435C79-7986-478B-8A10-358EF25E108C}" name="Amount:" dataDxfId="16" dataCellStyle="Normal"/>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6C3A896-24A1-4655-9A18-C39EC80B71A6}" name="Loan" displayName="Loan" ref="P9:R10" insertRow="1" dataDxfId="14" headerRowBorderDxfId="15" tableBorderDxfId="13">
  <tableColumns count="3">
    <tableColumn id="1" xr3:uid="{375080C9-1F45-4486-98DA-32AB5F7C384E}" name="Loan:" totalsRowLabel="Total" dataDxfId="12" totalsRowDxfId="11"/>
    <tableColumn id="2" xr3:uid="{6445E005-F362-4C45-B2FF-ABB0C13C339B}" name="APR%" dataDxfId="10" totalsRowDxfId="9"/>
    <tableColumn id="3" xr3:uid="{B753E925-2E30-4EDD-ABE5-6CB396568059}" name="Repayment:" totalsRowFunction="sum" dataDxfId="8"/>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E45D08-DD3D-455F-8BCF-3492447A738D}" name="Investment" displayName="Investment" ref="W9:X10" insertRow="1" totalsRowShown="0" headerRowDxfId="7" dataDxfId="5" headerRowBorderDxfId="6" tableBorderDxfId="4">
  <tableColumns count="2">
    <tableColumn id="1" xr3:uid="{A0417B9B-8BFF-4A0B-A813-71FE4897F6BA}" name="Investments:" dataDxfId="3"/>
    <tableColumn id="2" xr3:uid="{BDC101F0-4429-4B5E-929D-62E1119B3A63}" name="Amount:" dataDxfId="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9D14E6B-E6CD-41E5-98E9-0CEE13C58AE8}" name="Data" displayName="Data" ref="A1:A133" totalsRowShown="0">
  <autoFilter ref="A1:A133" xr:uid="{137177D8-A830-4BFB-9BA5-FB01259A06AD}"/>
  <tableColumns count="1">
    <tableColumn id="1" xr3:uid="{50750B21-CA02-4534-9A95-E80699CED5F4}" name="Date"/>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79949C-60BD-4C26-BA2D-A8530E4F88CA}" name="Keystone" displayName="Keystone" ref="A1:D2" insertRow="1" totalsRowShown="0">
  <autoFilter ref="A1:D2" xr:uid="{4B7B855A-9F67-4ECA-913D-92CEE254977E}"/>
  <tableColumns count="4">
    <tableColumn id="1" xr3:uid="{39B66046-D8E8-41ED-82CA-F942D8277C4A}" name="Name"/>
    <tableColumn id="2" xr3:uid="{15BEBA02-7F3F-4E4E-895D-8361A9A53798}" name="Type"/>
    <tableColumn id="3" xr3:uid="{235EF015-9241-4869-B9B2-A37CABF47E8B}" name="APR"/>
    <tableColumn id="4" xr3:uid="{F37E0096-131D-4C68-A4CC-0751307BFCA7}" name="Visibility"/>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stuartgrubb/FinanceTracker/blob/master/README.md" TargetMode="External"/><Relationship Id="rId1" Type="http://schemas.openxmlformats.org/officeDocument/2006/relationships/hyperlink" Target="https://github.com/stuartgrubb/FinanceTracker/"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table" Target="../tables/table1.xml"/><Relationship Id="rId9" Type="http://schemas.openxmlformats.org/officeDocument/2006/relationships/table" Target="../tables/table6.xml"/></Relationships>
</file>

<file path=xl/worksheets/_rels/sheet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A176-7356-475B-8596-F48078E055A6}">
  <sheetPr codeName="Sheet5"/>
  <dimension ref="B1:F24"/>
  <sheetViews>
    <sheetView showGridLines="0" zoomScale="110" zoomScaleNormal="110" workbookViewId="0">
      <selection activeCell="B13" sqref="B13"/>
    </sheetView>
  </sheetViews>
  <sheetFormatPr defaultRowHeight="15"/>
  <cols>
    <col min="1" max="1" width="11.7109375" customWidth="1"/>
    <col min="2" max="2" width="8.5703125" style="11" bestFit="1" customWidth="1"/>
    <col min="3" max="3" width="178.42578125" style="7" customWidth="1"/>
  </cols>
  <sheetData>
    <row r="1" spans="2:3">
      <c r="B1" s="36" t="s">
        <v>23</v>
      </c>
      <c r="C1" s="7" t="s">
        <v>22</v>
      </c>
    </row>
    <row r="2" spans="2:3">
      <c r="B2" s="36" t="s">
        <v>48</v>
      </c>
      <c r="C2" s="7" t="s">
        <v>47</v>
      </c>
    </row>
    <row r="3" spans="2:3">
      <c r="B3" s="36" t="s">
        <v>21</v>
      </c>
      <c r="C3" s="22" t="s">
        <v>46</v>
      </c>
    </row>
    <row r="4" spans="2:3">
      <c r="B4" s="36" t="s">
        <v>51</v>
      </c>
      <c r="C4" s="22" t="s">
        <v>49</v>
      </c>
    </row>
    <row r="5" spans="2:3">
      <c r="C5" s="22"/>
    </row>
    <row r="6" spans="2:3" ht="15.75" thickBot="1">
      <c r="C6" s="22"/>
    </row>
    <row r="7" spans="2:3" ht="105.75" customHeight="1" thickBot="1">
      <c r="B7" s="35" t="s">
        <v>25</v>
      </c>
      <c r="C7" s="33" t="s">
        <v>52</v>
      </c>
    </row>
    <row r="8" spans="2:3" s="32" customFormat="1" ht="15.75" thickBot="1">
      <c r="B8" s="30"/>
      <c r="C8" s="31"/>
    </row>
    <row r="9" spans="2:3" ht="132.75" customHeight="1" thickBot="1">
      <c r="B9" s="35" t="s">
        <v>26</v>
      </c>
      <c r="C9" s="33" t="s">
        <v>53</v>
      </c>
    </row>
    <row r="10" spans="2:3" ht="15.75" thickBot="1">
      <c r="C10" s="29"/>
    </row>
    <row r="11" spans="2:3" ht="52.5" customHeight="1" thickBot="1">
      <c r="B11" s="35" t="s">
        <v>50</v>
      </c>
      <c r="C11" s="34" t="s">
        <v>54</v>
      </c>
    </row>
    <row r="12" spans="2:3">
      <c r="B12" s="10"/>
      <c r="C12"/>
    </row>
    <row r="13" spans="2:3">
      <c r="B13" s="10"/>
      <c r="C13"/>
    </row>
    <row r="14" spans="2:3">
      <c r="B14" s="10"/>
    </row>
    <row r="15" spans="2:3">
      <c r="B15" s="10"/>
    </row>
    <row r="16" spans="2:3">
      <c r="B16" s="10"/>
    </row>
    <row r="17" spans="2:6">
      <c r="B17" s="10"/>
    </row>
    <row r="18" spans="2:6">
      <c r="B18" s="10"/>
    </row>
    <row r="24" spans="2:6">
      <c r="F24" t="s">
        <v>55</v>
      </c>
    </row>
  </sheetData>
  <sheetProtection selectLockedCells="1"/>
  <hyperlinks>
    <hyperlink ref="C3" r:id="rId1" xr:uid="{F4BA514C-6177-42A1-8D42-809CDACAD57B}"/>
    <hyperlink ref="C4" r:id="rId2" location="getting-started" display="Getting Started" xr:uid="{E9EBB525-ABE2-459C-AC03-571AA156F94B}"/>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Y95"/>
  <sheetViews>
    <sheetView showGridLines="0" tabSelected="1" zoomScaleNormal="100" zoomScaleSheetLayoutView="130" workbookViewId="0"/>
  </sheetViews>
  <sheetFormatPr defaultRowHeight="15"/>
  <cols>
    <col min="1" max="1" width="21.28515625" customWidth="1"/>
    <col min="2" max="2" width="22" style="1" bestFit="1" customWidth="1"/>
    <col min="3" max="3" width="14.5703125" style="1" customWidth="1"/>
    <col min="4" max="4" width="7.5703125" style="1" customWidth="1"/>
    <col min="5" max="5" width="20.42578125" style="1" bestFit="1" customWidth="1"/>
    <col min="6" max="6" width="14.5703125" style="1" customWidth="1"/>
    <col min="7" max="7" width="7.5703125" style="1" customWidth="1"/>
    <col min="8" max="8" width="18.140625" style="1" customWidth="1"/>
    <col min="9" max="9" width="6.7109375" customWidth="1"/>
    <col min="10" max="10" width="14.5703125" style="1" customWidth="1"/>
    <col min="11" max="11" width="7.5703125" style="1" customWidth="1"/>
    <col min="12" max="12" width="20.85546875" style="1" customWidth="1"/>
    <col min="13" max="13" width="6.7109375" customWidth="1"/>
    <col min="14" max="14" width="14.28515625" style="1" bestFit="1" customWidth="1"/>
    <col min="15" max="15" width="7.5703125" style="1" customWidth="1"/>
    <col min="16" max="16" width="14.140625" style="1" bestFit="1" customWidth="1"/>
    <col min="17" max="17" width="6.7109375" customWidth="1"/>
    <col min="18" max="18" width="14.28515625" style="1" bestFit="1" customWidth="1"/>
    <col min="19" max="19" width="7.5703125" style="1" customWidth="1"/>
    <col min="20" max="20" width="17" style="1" bestFit="1" customWidth="1"/>
    <col min="21" max="21" width="18" style="1" customWidth="1"/>
    <col min="22" max="22" width="7.5703125" style="1" customWidth="1"/>
    <col min="23" max="23" width="17" style="1" bestFit="1" customWidth="1"/>
    <col min="24" max="24" width="18" style="1" customWidth="1"/>
  </cols>
  <sheetData>
    <row r="1" spans="1:25" ht="27" thickBot="1">
      <c r="A1" s="1"/>
      <c r="K1" s="23" t="s">
        <v>35</v>
      </c>
      <c r="L1" s="24"/>
      <c r="M1" s="25"/>
      <c r="N1" s="26"/>
      <c r="O1" s="27"/>
    </row>
    <row r="2" spans="1:25" ht="15.75" thickTop="1"/>
    <row r="4" spans="1:25" ht="27" thickBot="1">
      <c r="B4" s="38" t="s">
        <v>0</v>
      </c>
      <c r="C4" s="38"/>
      <c r="E4" s="38" t="s">
        <v>20</v>
      </c>
      <c r="F4" s="38"/>
      <c r="H4" s="37" t="s">
        <v>1</v>
      </c>
      <c r="I4" s="37"/>
      <c r="J4" s="37"/>
      <c r="L4" s="37" t="s">
        <v>2</v>
      </c>
      <c r="M4" s="37"/>
      <c r="N4" s="37"/>
      <c r="P4" s="37" t="s">
        <v>3</v>
      </c>
      <c r="Q4" s="37"/>
      <c r="R4" s="37"/>
      <c r="T4" s="38" t="s">
        <v>4</v>
      </c>
      <c r="U4" s="38"/>
      <c r="W4" s="38" t="s">
        <v>5</v>
      </c>
      <c r="X4" s="38"/>
    </row>
    <row r="5" spans="1:25" ht="15.75" thickTop="1"/>
    <row r="9" spans="1:25" ht="15.75">
      <c r="B9" s="6" t="s">
        <v>6</v>
      </c>
      <c r="C9" s="6" t="s">
        <v>7</v>
      </c>
      <c r="D9" s="3"/>
      <c r="E9" s="6" t="s">
        <v>19</v>
      </c>
      <c r="F9" s="6" t="s">
        <v>7</v>
      </c>
      <c r="G9" s="3"/>
      <c r="H9" s="4" t="s">
        <v>8</v>
      </c>
      <c r="I9" s="9" t="s">
        <v>9</v>
      </c>
      <c r="J9" s="5" t="s">
        <v>10</v>
      </c>
      <c r="K9" s="3"/>
      <c r="L9" s="4" t="s">
        <v>11</v>
      </c>
      <c r="M9" s="9" t="s">
        <v>9</v>
      </c>
      <c r="N9" s="5" t="s">
        <v>7</v>
      </c>
      <c r="O9" s="3"/>
      <c r="P9" s="4" t="s">
        <v>12</v>
      </c>
      <c r="Q9" s="9" t="s">
        <v>9</v>
      </c>
      <c r="R9" s="5" t="s">
        <v>10</v>
      </c>
      <c r="S9" s="3"/>
      <c r="T9" s="4" t="s">
        <v>13</v>
      </c>
      <c r="U9" s="5" t="s">
        <v>7</v>
      </c>
      <c r="V9" s="3"/>
      <c r="W9" s="4" t="s">
        <v>14</v>
      </c>
      <c r="X9" s="5" t="s">
        <v>7</v>
      </c>
      <c r="Y9" s="1"/>
    </row>
    <row r="10" spans="1:25" ht="15.75">
      <c r="I10" s="12"/>
      <c r="M10" s="12"/>
      <c r="P10" s="3"/>
      <c r="Q10" s="12"/>
      <c r="R10" s="3"/>
      <c r="W10" s="3"/>
      <c r="X10" s="3"/>
      <c r="Y10" s="1"/>
    </row>
    <row r="11" spans="1:25" ht="15.75">
      <c r="C11" s="1" t="s">
        <v>36</v>
      </c>
      <c r="M11" s="12"/>
      <c r="Q11" s="12"/>
      <c r="Y11" s="1"/>
    </row>
    <row r="12" spans="1:25" s="1" customFormat="1"/>
    <row r="13" spans="1:25" s="1" customFormat="1"/>
    <row r="14" spans="1:25" s="1" customFormat="1">
      <c r="I14" s="21"/>
      <c r="T14" s="19"/>
      <c r="W14" s="19"/>
    </row>
    <row r="15" spans="1:25" s="1" customFormat="1">
      <c r="G15" s="20"/>
      <c r="M15" s="21"/>
      <c r="Q15" s="21"/>
      <c r="S15" s="20"/>
      <c r="T15" s="19"/>
      <c r="V15" s="20"/>
      <c r="W15" s="19"/>
    </row>
    <row r="16" spans="1:25" s="1" customFormat="1">
      <c r="I16" s="21"/>
      <c r="J16" s="19"/>
      <c r="K16" s="19"/>
      <c r="T16" s="19"/>
      <c r="W16" s="19"/>
    </row>
    <row r="17" spans="4:25" s="1" customFormat="1">
      <c r="I17" s="21"/>
      <c r="J17" s="19"/>
      <c r="K17" s="19"/>
      <c r="M17" s="21"/>
      <c r="Q17" s="21"/>
    </row>
    <row r="18" spans="4:25" s="1" customFormat="1">
      <c r="I18" s="21"/>
      <c r="J18" s="19"/>
      <c r="K18" s="19"/>
      <c r="M18" s="21"/>
      <c r="Q18" s="21"/>
    </row>
    <row r="19" spans="4:25" s="1" customFormat="1">
      <c r="I19" s="21"/>
      <c r="J19" s="19"/>
      <c r="K19" s="19"/>
      <c r="M19" s="21"/>
      <c r="Q19" s="21"/>
    </row>
    <row r="20" spans="4:25" s="1" customFormat="1">
      <c r="I20" s="21"/>
      <c r="J20" s="19"/>
      <c r="K20" s="19"/>
      <c r="M20" s="21"/>
    </row>
    <row r="21" spans="4:25" s="1" customFormat="1">
      <c r="H21" s="1" t="s">
        <v>36</v>
      </c>
      <c r="I21" s="21"/>
      <c r="J21" s="19"/>
      <c r="K21" s="19"/>
      <c r="M21" s="21"/>
      <c r="O21" s="19"/>
      <c r="P21" s="19"/>
      <c r="Q21" s="21"/>
      <c r="T21" s="19"/>
      <c r="W21" s="19"/>
    </row>
    <row r="22" spans="4:25" s="1" customFormat="1">
      <c r="I22" s="21"/>
      <c r="J22" s="19"/>
      <c r="K22" s="19"/>
      <c r="M22" s="21"/>
      <c r="Q22" s="21"/>
    </row>
    <row r="23" spans="4:25" s="1" customFormat="1">
      <c r="D23" s="19"/>
      <c r="G23" s="19"/>
      <c r="K23" s="19"/>
      <c r="M23" s="21"/>
      <c r="N23" s="19"/>
      <c r="Q23" s="21"/>
      <c r="R23" s="19"/>
      <c r="S23" s="19"/>
      <c r="T23" s="19"/>
      <c r="U23" s="19"/>
      <c r="V23" s="19"/>
      <c r="W23" s="19"/>
      <c r="X23" s="19"/>
      <c r="Y23" s="19"/>
    </row>
    <row r="24" spans="4:25" s="1" customFormat="1">
      <c r="D24" s="19"/>
      <c r="G24" s="19"/>
      <c r="K24" s="19"/>
      <c r="N24" s="19"/>
      <c r="R24" s="19"/>
      <c r="S24" s="19"/>
      <c r="T24" s="19"/>
      <c r="U24" s="19"/>
      <c r="V24" s="19"/>
      <c r="W24" s="19"/>
      <c r="X24" s="19"/>
      <c r="Y24" s="19"/>
    </row>
    <row r="25" spans="4:25" s="1" customFormat="1"/>
    <row r="26" spans="4:25" s="1" customFormat="1"/>
    <row r="27" spans="4:25" s="1" customFormat="1"/>
    <row r="28" spans="4:25" s="1" customFormat="1"/>
    <row r="29" spans="4:25" s="1" customFormat="1">
      <c r="N29" s="19"/>
    </row>
    <row r="30" spans="4:25" s="1" customFormat="1">
      <c r="N30" s="19"/>
    </row>
    <row r="31" spans="4:25" s="1" customFormat="1">
      <c r="N31" s="19"/>
    </row>
    <row r="32" spans="4:25" s="1" customFormat="1">
      <c r="D32" s="19"/>
      <c r="G32" s="19"/>
      <c r="K32" s="19"/>
      <c r="N32" s="19"/>
      <c r="S32" s="19"/>
      <c r="V32" s="19"/>
    </row>
    <row r="33" spans="4:22" s="1" customFormat="1">
      <c r="D33" s="19"/>
      <c r="G33" s="19"/>
      <c r="K33" s="19"/>
      <c r="N33" s="19"/>
      <c r="S33" s="19"/>
      <c r="V33" s="19"/>
    </row>
    <row r="34" spans="4:22" s="1" customFormat="1">
      <c r="T34" s="21"/>
    </row>
    <row r="35" spans="4:22" s="1" customFormat="1">
      <c r="T35" s="8"/>
    </row>
    <row r="36" spans="4:22" s="1" customFormat="1">
      <c r="T36" s="8"/>
    </row>
    <row r="37" spans="4:22" s="1" customFormat="1">
      <c r="T37" s="8"/>
    </row>
    <row r="38" spans="4:22" s="1" customFormat="1">
      <c r="T38" s="8"/>
    </row>
    <row r="39" spans="4:22" s="1" customFormat="1">
      <c r="T39" s="8"/>
    </row>
    <row r="40" spans="4:22" s="1" customFormat="1">
      <c r="T40" s="8"/>
    </row>
    <row r="41" spans="4:22" s="1" customFormat="1">
      <c r="T41" s="8"/>
    </row>
    <row r="42" spans="4:22" s="1" customFormat="1">
      <c r="T42" s="8"/>
    </row>
    <row r="43" spans="4:22" s="1" customFormat="1">
      <c r="T43" s="8"/>
    </row>
    <row r="44" spans="4:22" s="1" customFormat="1">
      <c r="T44" s="8"/>
    </row>
    <row r="45" spans="4:22" s="1" customFormat="1">
      <c r="T45" s="8"/>
    </row>
    <row r="46" spans="4:22" s="1" customFormat="1">
      <c r="T46" s="8"/>
    </row>
    <row r="47" spans="4:22" s="1" customFormat="1">
      <c r="T47" s="8"/>
    </row>
    <row r="48" spans="4:22" s="1" customFormat="1">
      <c r="T48" s="8"/>
    </row>
    <row r="49" spans="18:20" s="1" customFormat="1">
      <c r="T49" s="21"/>
    </row>
    <row r="50" spans="18:20" s="1" customFormat="1">
      <c r="T50" s="8"/>
    </row>
    <row r="51" spans="18:20" s="1" customFormat="1">
      <c r="T51" s="8"/>
    </row>
    <row r="52" spans="18:20" s="1" customFormat="1">
      <c r="T52" s="8"/>
    </row>
    <row r="53" spans="18:20" s="1" customFormat="1">
      <c r="T53" s="8"/>
    </row>
    <row r="54" spans="18:20" s="1" customFormat="1">
      <c r="T54" s="8"/>
    </row>
    <row r="55" spans="18:20" s="1" customFormat="1">
      <c r="T55" s="21"/>
    </row>
    <row r="56" spans="18:20" s="1" customFormat="1">
      <c r="R56" s="8"/>
    </row>
    <row r="57" spans="18:20" s="1" customFormat="1">
      <c r="R57" s="21"/>
    </row>
    <row r="58" spans="18:20" s="1" customFormat="1">
      <c r="R58" s="8"/>
    </row>
    <row r="59" spans="18:20" s="1" customFormat="1">
      <c r="R59" s="8"/>
    </row>
    <row r="60" spans="18:20" s="1" customFormat="1">
      <c r="R60" s="21"/>
    </row>
    <row r="61" spans="18:20" s="1" customFormat="1">
      <c r="R61" s="8"/>
    </row>
    <row r="62" spans="18:20" s="1" customFormat="1">
      <c r="R62" s="8"/>
    </row>
    <row r="63" spans="18:20" s="1" customFormat="1">
      <c r="R63" s="21"/>
    </row>
    <row r="64" spans="18:20" s="1" customFormat="1">
      <c r="R64" s="8"/>
    </row>
    <row r="65" spans="18:18" s="1" customFormat="1">
      <c r="R65" s="8"/>
    </row>
    <row r="66" spans="18:18" s="1" customFormat="1">
      <c r="R66" s="21"/>
    </row>
    <row r="67" spans="18:18" s="1" customFormat="1">
      <c r="R67" s="8"/>
    </row>
    <row r="68" spans="18:18" s="1" customFormat="1">
      <c r="R68" s="8"/>
    </row>
    <row r="69" spans="18:18" s="1" customFormat="1">
      <c r="R69" s="21"/>
    </row>
    <row r="70" spans="18:18" s="1" customFormat="1">
      <c r="R70" s="8"/>
    </row>
    <row r="71" spans="18:18" s="1" customFormat="1">
      <c r="R71" s="8"/>
    </row>
    <row r="72" spans="18:18" s="1" customFormat="1">
      <c r="R72" s="21"/>
    </row>
    <row r="73" spans="18:18" s="1" customFormat="1">
      <c r="R73" s="8"/>
    </row>
    <row r="74" spans="18:18" s="1" customFormat="1">
      <c r="R74" s="8"/>
    </row>
    <row r="75" spans="18:18" s="1" customFormat="1">
      <c r="R75" s="8"/>
    </row>
    <row r="76" spans="18:18" s="1" customFormat="1">
      <c r="R76" s="8"/>
    </row>
    <row r="77" spans="18:18" s="1" customFormat="1"/>
    <row r="78" spans="18:18" s="1" customFormat="1"/>
    <row r="79" spans="18:18" s="1" customFormat="1"/>
    <row r="80" spans="18:18" s="1" customFormat="1"/>
    <row r="81" s="1" customFormat="1"/>
    <row r="82" s="1" customFormat="1"/>
    <row r="83" s="1" customFormat="1"/>
    <row r="84" s="1" customFormat="1"/>
    <row r="85" s="1" customFormat="1"/>
    <row r="86" s="1" customFormat="1"/>
    <row r="87" s="1" customFormat="1"/>
    <row r="88" s="1" customFormat="1"/>
    <row r="89" s="1" customFormat="1"/>
    <row r="90" s="1" customFormat="1"/>
    <row r="91" s="1" customFormat="1"/>
    <row r="92" s="1" customFormat="1"/>
    <row r="93" s="1" customFormat="1"/>
    <row r="94" s="1" customFormat="1"/>
    <row r="95" s="1" customFormat="1"/>
  </sheetData>
  <mergeCells count="7">
    <mergeCell ref="P4:R4"/>
    <mergeCell ref="W4:X4"/>
    <mergeCell ref="T4:U4"/>
    <mergeCell ref="B4:C4"/>
    <mergeCell ref="E4:F4"/>
    <mergeCell ref="H4:J4"/>
    <mergeCell ref="L4:N4"/>
  </mergeCells>
  <pageMargins left="0.7" right="0.7" top="0.75" bottom="0.75" header="0.3" footer="0.3"/>
  <pageSetup paperSize="9" orientation="portrait" r:id="rId1"/>
  <drawing r:id="rId2"/>
  <legacyDrawing r:id="rId3"/>
  <tableParts count="7">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4824-1CDF-439C-96D8-4F84353392D1}">
  <sheetPr codeName="Sheet2">
    <pageSetUpPr autoPageBreaks="0"/>
  </sheetPr>
  <dimension ref="A1:A133"/>
  <sheetViews>
    <sheetView zoomScaleNormal="100" workbookViewId="0">
      <selection activeCell="J8" sqref="J8"/>
    </sheetView>
  </sheetViews>
  <sheetFormatPr defaultRowHeight="15"/>
  <cols>
    <col min="1" max="1" width="10.7109375" bestFit="1" customWidth="1"/>
  </cols>
  <sheetData>
    <row r="1" spans="1:1">
      <c r="A1" t="s">
        <v>24</v>
      </c>
    </row>
    <row r="2" spans="1:1">
      <c r="A2" s="28">
        <v>43831</v>
      </c>
    </row>
    <row r="3" spans="1:1">
      <c r="A3" s="28">
        <v>43862</v>
      </c>
    </row>
    <row r="4" spans="1:1">
      <c r="A4" s="28">
        <v>43891</v>
      </c>
    </row>
    <row r="5" spans="1:1">
      <c r="A5" s="28">
        <v>43922</v>
      </c>
    </row>
    <row r="6" spans="1:1">
      <c r="A6" s="28">
        <v>43952</v>
      </c>
    </row>
    <row r="7" spans="1:1">
      <c r="A7" s="28">
        <v>43983</v>
      </c>
    </row>
    <row r="8" spans="1:1">
      <c r="A8" s="28">
        <v>44013</v>
      </c>
    </row>
    <row r="9" spans="1:1">
      <c r="A9" s="28">
        <v>44044</v>
      </c>
    </row>
    <row r="10" spans="1:1">
      <c r="A10" s="28">
        <v>44075</v>
      </c>
    </row>
    <row r="11" spans="1:1">
      <c r="A11" s="28">
        <v>44105</v>
      </c>
    </row>
    <row r="12" spans="1:1">
      <c r="A12" s="28">
        <v>44136</v>
      </c>
    </row>
    <row r="13" spans="1:1">
      <c r="A13" s="28">
        <v>44166</v>
      </c>
    </row>
    <row r="14" spans="1:1">
      <c r="A14" s="28">
        <v>44197</v>
      </c>
    </row>
    <row r="15" spans="1:1">
      <c r="A15" s="28">
        <v>44228</v>
      </c>
    </row>
    <row r="16" spans="1:1">
      <c r="A16" s="28">
        <v>44256</v>
      </c>
    </row>
    <row r="17" spans="1:1">
      <c r="A17" s="28">
        <v>44287</v>
      </c>
    </row>
    <row r="18" spans="1:1">
      <c r="A18" s="28">
        <v>44317</v>
      </c>
    </row>
    <row r="19" spans="1:1">
      <c r="A19" s="28">
        <v>44348</v>
      </c>
    </row>
    <row r="20" spans="1:1">
      <c r="A20" s="28">
        <v>44378</v>
      </c>
    </row>
    <row r="21" spans="1:1">
      <c r="A21" s="28">
        <v>44409</v>
      </c>
    </row>
    <row r="22" spans="1:1">
      <c r="A22" s="28">
        <v>44440</v>
      </c>
    </row>
    <row r="23" spans="1:1">
      <c r="A23" s="28">
        <v>44470</v>
      </c>
    </row>
    <row r="24" spans="1:1">
      <c r="A24" s="28">
        <v>44501</v>
      </c>
    </row>
    <row r="25" spans="1:1">
      <c r="A25" s="28">
        <v>44531</v>
      </c>
    </row>
    <row r="26" spans="1:1">
      <c r="A26" s="28">
        <v>44562</v>
      </c>
    </row>
    <row r="27" spans="1:1">
      <c r="A27" s="28">
        <v>44593</v>
      </c>
    </row>
    <row r="28" spans="1:1">
      <c r="A28" s="28">
        <v>44621</v>
      </c>
    </row>
    <row r="29" spans="1:1">
      <c r="A29" s="28">
        <v>44652</v>
      </c>
    </row>
    <row r="30" spans="1:1">
      <c r="A30" s="28">
        <v>44682</v>
      </c>
    </row>
    <row r="31" spans="1:1">
      <c r="A31" s="28">
        <v>44713</v>
      </c>
    </row>
    <row r="32" spans="1:1">
      <c r="A32" s="28">
        <v>44743</v>
      </c>
    </row>
    <row r="33" spans="1:1">
      <c r="A33" s="28">
        <v>44774</v>
      </c>
    </row>
    <row r="34" spans="1:1">
      <c r="A34" s="28">
        <v>44805</v>
      </c>
    </row>
    <row r="35" spans="1:1">
      <c r="A35" s="28">
        <v>44835</v>
      </c>
    </row>
    <row r="36" spans="1:1">
      <c r="A36" s="28">
        <v>44866</v>
      </c>
    </row>
    <row r="37" spans="1:1">
      <c r="A37" s="28">
        <v>44896</v>
      </c>
    </row>
    <row r="38" spans="1:1">
      <c r="A38" s="28">
        <v>44927</v>
      </c>
    </row>
    <row r="39" spans="1:1">
      <c r="A39" s="28">
        <v>44958</v>
      </c>
    </row>
    <row r="40" spans="1:1">
      <c r="A40" s="28">
        <v>44986</v>
      </c>
    </row>
    <row r="41" spans="1:1">
      <c r="A41" s="28">
        <v>45017</v>
      </c>
    </row>
    <row r="42" spans="1:1">
      <c r="A42" s="28">
        <v>45047</v>
      </c>
    </row>
    <row r="43" spans="1:1">
      <c r="A43" s="28">
        <v>45078</v>
      </c>
    </row>
    <row r="44" spans="1:1">
      <c r="A44" s="28">
        <v>45108</v>
      </c>
    </row>
    <row r="45" spans="1:1">
      <c r="A45" s="28">
        <v>45139</v>
      </c>
    </row>
    <row r="46" spans="1:1">
      <c r="A46" s="28">
        <v>45170</v>
      </c>
    </row>
    <row r="47" spans="1:1">
      <c r="A47" s="28">
        <v>45200</v>
      </c>
    </row>
    <row r="48" spans="1:1">
      <c r="A48" s="28">
        <v>45231</v>
      </c>
    </row>
    <row r="49" spans="1:1">
      <c r="A49" s="28">
        <v>45261</v>
      </c>
    </row>
    <row r="50" spans="1:1">
      <c r="A50" s="28">
        <v>45292</v>
      </c>
    </row>
    <row r="51" spans="1:1">
      <c r="A51" s="28">
        <v>45323</v>
      </c>
    </row>
    <row r="52" spans="1:1">
      <c r="A52" s="28">
        <v>45352</v>
      </c>
    </row>
    <row r="53" spans="1:1">
      <c r="A53" s="28">
        <v>45383</v>
      </c>
    </row>
    <row r="54" spans="1:1">
      <c r="A54" s="28">
        <v>45413</v>
      </c>
    </row>
    <row r="55" spans="1:1">
      <c r="A55" s="28">
        <v>45444</v>
      </c>
    </row>
    <row r="56" spans="1:1">
      <c r="A56" s="28">
        <v>45474</v>
      </c>
    </row>
    <row r="57" spans="1:1">
      <c r="A57" s="28">
        <v>45505</v>
      </c>
    </row>
    <row r="58" spans="1:1">
      <c r="A58" s="28">
        <v>45536</v>
      </c>
    </row>
    <row r="59" spans="1:1">
      <c r="A59" s="28">
        <v>45566</v>
      </c>
    </row>
    <row r="60" spans="1:1">
      <c r="A60" s="28">
        <v>45597</v>
      </c>
    </row>
    <row r="61" spans="1:1">
      <c r="A61" s="28">
        <v>45627</v>
      </c>
    </row>
    <row r="62" spans="1:1">
      <c r="A62" s="28">
        <v>45658</v>
      </c>
    </row>
    <row r="63" spans="1:1">
      <c r="A63" s="28">
        <v>45689</v>
      </c>
    </row>
    <row r="64" spans="1:1">
      <c r="A64" s="28">
        <v>45717</v>
      </c>
    </row>
    <row r="65" spans="1:1">
      <c r="A65" s="28">
        <v>45748</v>
      </c>
    </row>
    <row r="66" spans="1:1">
      <c r="A66" s="28">
        <v>45778</v>
      </c>
    </row>
    <row r="67" spans="1:1">
      <c r="A67" s="28">
        <v>45809</v>
      </c>
    </row>
    <row r="68" spans="1:1">
      <c r="A68" s="28">
        <v>45839</v>
      </c>
    </row>
    <row r="69" spans="1:1">
      <c r="A69" s="28">
        <v>45870</v>
      </c>
    </row>
    <row r="70" spans="1:1">
      <c r="A70" s="28">
        <v>45901</v>
      </c>
    </row>
    <row r="71" spans="1:1">
      <c r="A71" s="28">
        <v>45931</v>
      </c>
    </row>
    <row r="72" spans="1:1">
      <c r="A72" s="28">
        <v>45962</v>
      </c>
    </row>
    <row r="73" spans="1:1">
      <c r="A73" s="28">
        <v>45992</v>
      </c>
    </row>
    <row r="74" spans="1:1">
      <c r="A74" s="28">
        <v>46023</v>
      </c>
    </row>
    <row r="75" spans="1:1">
      <c r="A75" s="28">
        <v>46054</v>
      </c>
    </row>
    <row r="76" spans="1:1">
      <c r="A76" s="28">
        <v>46082</v>
      </c>
    </row>
    <row r="77" spans="1:1">
      <c r="A77" s="28">
        <v>46113</v>
      </c>
    </row>
    <row r="78" spans="1:1">
      <c r="A78" s="28">
        <v>46143</v>
      </c>
    </row>
    <row r="79" spans="1:1">
      <c r="A79" s="28">
        <v>46174</v>
      </c>
    </row>
    <row r="80" spans="1:1">
      <c r="A80" s="28">
        <v>46204</v>
      </c>
    </row>
    <row r="81" spans="1:1">
      <c r="A81" s="28">
        <v>46235</v>
      </c>
    </row>
    <row r="82" spans="1:1">
      <c r="A82" s="28">
        <v>46266</v>
      </c>
    </row>
    <row r="83" spans="1:1">
      <c r="A83" s="28">
        <v>46296</v>
      </c>
    </row>
    <row r="84" spans="1:1">
      <c r="A84" s="28">
        <v>46327</v>
      </c>
    </row>
    <row r="85" spans="1:1">
      <c r="A85" s="28">
        <v>46357</v>
      </c>
    </row>
    <row r="86" spans="1:1">
      <c r="A86" s="28">
        <v>46388</v>
      </c>
    </row>
    <row r="87" spans="1:1">
      <c r="A87" s="28">
        <v>46419</v>
      </c>
    </row>
    <row r="88" spans="1:1">
      <c r="A88" s="28">
        <v>46447</v>
      </c>
    </row>
    <row r="89" spans="1:1">
      <c r="A89" s="28">
        <v>46478</v>
      </c>
    </row>
    <row r="90" spans="1:1">
      <c r="A90" s="28">
        <v>46508</v>
      </c>
    </row>
    <row r="91" spans="1:1">
      <c r="A91" s="28">
        <v>46539</v>
      </c>
    </row>
    <row r="92" spans="1:1">
      <c r="A92" s="28">
        <v>46569</v>
      </c>
    </row>
    <row r="93" spans="1:1">
      <c r="A93" s="28">
        <v>46600</v>
      </c>
    </row>
    <row r="94" spans="1:1">
      <c r="A94" s="28">
        <v>46631</v>
      </c>
    </row>
    <row r="95" spans="1:1">
      <c r="A95" s="28">
        <v>46661</v>
      </c>
    </row>
    <row r="96" spans="1:1">
      <c r="A96" s="28">
        <v>46692</v>
      </c>
    </row>
    <row r="97" spans="1:1">
      <c r="A97" s="28">
        <v>46722</v>
      </c>
    </row>
    <row r="98" spans="1:1">
      <c r="A98" s="28">
        <v>46753</v>
      </c>
    </row>
    <row r="99" spans="1:1">
      <c r="A99" s="28">
        <v>46784</v>
      </c>
    </row>
    <row r="100" spans="1:1">
      <c r="A100" s="28">
        <v>46813</v>
      </c>
    </row>
    <row r="101" spans="1:1">
      <c r="A101" s="28">
        <v>46844</v>
      </c>
    </row>
    <row r="102" spans="1:1">
      <c r="A102" s="28">
        <v>46874</v>
      </c>
    </row>
    <row r="103" spans="1:1">
      <c r="A103" s="28">
        <v>46905</v>
      </c>
    </row>
    <row r="104" spans="1:1">
      <c r="A104" s="28">
        <v>46935</v>
      </c>
    </row>
    <row r="105" spans="1:1">
      <c r="A105" s="28">
        <v>46966</v>
      </c>
    </row>
    <row r="106" spans="1:1">
      <c r="A106" s="28">
        <v>46997</v>
      </c>
    </row>
    <row r="107" spans="1:1">
      <c r="A107" s="28">
        <v>47027</v>
      </c>
    </row>
    <row r="108" spans="1:1">
      <c r="A108" s="28">
        <v>47058</v>
      </c>
    </row>
    <row r="109" spans="1:1">
      <c r="A109" s="28">
        <v>47088</v>
      </c>
    </row>
    <row r="110" spans="1:1">
      <c r="A110" s="28">
        <v>47119</v>
      </c>
    </row>
    <row r="111" spans="1:1">
      <c r="A111" s="28">
        <v>47150</v>
      </c>
    </row>
    <row r="112" spans="1:1">
      <c r="A112" s="28">
        <v>47178</v>
      </c>
    </row>
    <row r="113" spans="1:1">
      <c r="A113" s="28">
        <v>47209</v>
      </c>
    </row>
    <row r="114" spans="1:1">
      <c r="A114" s="28">
        <v>47239</v>
      </c>
    </row>
    <row r="115" spans="1:1">
      <c r="A115" s="28">
        <v>47270</v>
      </c>
    </row>
    <row r="116" spans="1:1">
      <c r="A116" s="28">
        <v>47300</v>
      </c>
    </row>
    <row r="117" spans="1:1">
      <c r="A117" s="28">
        <v>47331</v>
      </c>
    </row>
    <row r="118" spans="1:1">
      <c r="A118" s="28">
        <v>47362</v>
      </c>
    </row>
    <row r="119" spans="1:1">
      <c r="A119" s="28">
        <v>47392</v>
      </c>
    </row>
    <row r="120" spans="1:1">
      <c r="A120" s="28">
        <v>47423</v>
      </c>
    </row>
    <row r="121" spans="1:1">
      <c r="A121" s="28">
        <v>47453</v>
      </c>
    </row>
    <row r="122" spans="1:1">
      <c r="A122" s="28">
        <v>47484</v>
      </c>
    </row>
    <row r="123" spans="1:1">
      <c r="A123" s="28">
        <v>47515</v>
      </c>
    </row>
    <row r="124" spans="1:1">
      <c r="A124" s="28">
        <v>47543</v>
      </c>
    </row>
    <row r="125" spans="1:1">
      <c r="A125" s="28">
        <v>47574</v>
      </c>
    </row>
    <row r="126" spans="1:1">
      <c r="A126" s="28">
        <v>47604</v>
      </c>
    </row>
    <row r="127" spans="1:1">
      <c r="A127" s="28">
        <v>47635</v>
      </c>
    </row>
    <row r="128" spans="1:1">
      <c r="A128" s="28">
        <v>47665</v>
      </c>
    </row>
    <row r="129" spans="1:1">
      <c r="A129" s="28">
        <v>47696</v>
      </c>
    </row>
    <row r="130" spans="1:1">
      <c r="A130" s="28">
        <v>47727</v>
      </c>
    </row>
    <row r="131" spans="1:1">
      <c r="A131" s="28">
        <v>47757</v>
      </c>
    </row>
    <row r="132" spans="1:1">
      <c r="A132" s="28">
        <v>47788</v>
      </c>
    </row>
    <row r="133" spans="1:1">
      <c r="A133" s="28">
        <v>47818</v>
      </c>
    </row>
  </sheetData>
  <phoneticPr fontId="1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351E5-D411-47AB-89A8-35AFA21DEC2D}">
  <sheetPr codeName="Sheet3"/>
  <dimension ref="A1:D1"/>
  <sheetViews>
    <sheetView workbookViewId="0">
      <selection activeCell="J8" sqref="J8"/>
    </sheetView>
  </sheetViews>
  <sheetFormatPr defaultRowHeight="15"/>
  <cols>
    <col min="1" max="1" width="17.7109375" bestFit="1" customWidth="1"/>
    <col min="2" max="2" width="15.140625" customWidth="1"/>
    <col min="3" max="3" width="12.28515625" customWidth="1"/>
    <col min="4" max="4" width="18.140625" customWidth="1"/>
  </cols>
  <sheetData>
    <row r="1" spans="1:4">
      <c r="A1" t="s">
        <v>15</v>
      </c>
      <c r="B1" t="s">
        <v>16</v>
      </c>
      <c r="C1" t="s">
        <v>17</v>
      </c>
      <c r="D1" t="s">
        <v>18</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3441D-8A03-4AE4-94A0-D4639F402860}">
  <sheetPr codeName="Sheet6"/>
  <dimension ref="A1:G10"/>
  <sheetViews>
    <sheetView workbookViewId="0">
      <selection activeCell="G1" sqref="G1"/>
    </sheetView>
  </sheetViews>
  <sheetFormatPr defaultRowHeight="15"/>
  <cols>
    <col min="1" max="1" width="18.5703125" bestFit="1" customWidth="1"/>
    <col min="2" max="2" width="11.5703125" customWidth="1"/>
    <col min="5" max="5" width="22" bestFit="1" customWidth="1"/>
    <col min="6" max="6" width="10.42578125" style="17" customWidth="1"/>
    <col min="7" max="7" width="9.42578125" style="17" customWidth="1"/>
  </cols>
  <sheetData>
    <row r="1" spans="1:7" ht="15.75">
      <c r="A1" s="2" t="s">
        <v>35</v>
      </c>
      <c r="B1" s="13"/>
      <c r="E1" s="2" t="s">
        <v>27</v>
      </c>
      <c r="F1" s="14" t="s">
        <v>28</v>
      </c>
      <c r="G1" s="18" t="s">
        <v>29</v>
      </c>
    </row>
    <row r="2" spans="1:7">
      <c r="A2" s="2" t="s">
        <v>43</v>
      </c>
      <c r="B2" t="s">
        <v>45</v>
      </c>
      <c r="E2" s="7" t="s">
        <v>31</v>
      </c>
      <c r="F2" s="15">
        <f>SUM(B4,B6)</f>
        <v>0</v>
      </c>
      <c r="G2" s="16" t="e">
        <f>F2/SUM($F$2:$F$5)</f>
        <v>#DIV/0!</v>
      </c>
    </row>
    <row r="3" spans="1:7">
      <c r="A3" s="2" t="s">
        <v>30</v>
      </c>
      <c r="B3" s="1">
        <f>SUM(Income[Amount:])</f>
        <v>0</v>
      </c>
      <c r="E3" s="7" t="s">
        <v>32</v>
      </c>
      <c r="F3" s="15">
        <f>SUM(B5,B8)</f>
        <v>0</v>
      </c>
      <c r="G3" s="16" t="e">
        <f t="shared" ref="G3:G5" si="0">F3/SUM($F$2:$F$5)</f>
        <v>#DIV/0!</v>
      </c>
    </row>
    <row r="4" spans="1:7">
      <c r="A4" s="2" t="s">
        <v>37</v>
      </c>
      <c r="B4" s="1">
        <f>SUM(Bill[Amount:])</f>
        <v>0</v>
      </c>
      <c r="E4" s="7" t="s">
        <v>33</v>
      </c>
      <c r="F4" s="15">
        <f>SUM(B7,B9)</f>
        <v>0</v>
      </c>
      <c r="G4" s="16" t="e">
        <f t="shared" si="0"/>
        <v>#DIV/0!</v>
      </c>
    </row>
    <row r="5" spans="1:7">
      <c r="A5" s="2" t="s">
        <v>38</v>
      </c>
      <c r="B5" s="1">
        <f>SUM(CreditCard[Amount:])</f>
        <v>0</v>
      </c>
      <c r="E5" s="7" t="s">
        <v>42</v>
      </c>
      <c r="F5" s="15">
        <f>B10</f>
        <v>0</v>
      </c>
      <c r="G5" s="16" t="e">
        <f t="shared" si="0"/>
        <v>#DIV/0!</v>
      </c>
    </row>
    <row r="6" spans="1:7">
      <c r="A6" s="2" t="s">
        <v>34</v>
      </c>
      <c r="B6" s="1">
        <f>SUM(Mortgage[Repayment:])</f>
        <v>0</v>
      </c>
    </row>
    <row r="7" spans="1:7">
      <c r="A7" s="2" t="s">
        <v>39</v>
      </c>
      <c r="B7" s="1">
        <f>SUM(SavingsAccount[Amount:])</f>
        <v>0</v>
      </c>
    </row>
    <row r="8" spans="1:7">
      <c r="A8" s="2" t="s">
        <v>40</v>
      </c>
      <c r="B8" s="1">
        <f>SUM(Loan[Repayment:])</f>
        <v>0</v>
      </c>
    </row>
    <row r="9" spans="1:7">
      <c r="A9" s="2" t="s">
        <v>41</v>
      </c>
      <c r="B9" s="1">
        <f>SUM(Investment[Amount:])</f>
        <v>0</v>
      </c>
    </row>
    <row r="10" spans="1:7">
      <c r="A10" s="2" t="s">
        <v>44</v>
      </c>
      <c r="B10" s="1">
        <f>(B3-B4-B5-B7-B8-B9-B6)</f>
        <v>0</v>
      </c>
    </row>
  </sheetData>
  <conditionalFormatting sqref="B10">
    <cfRule type="cellIs" dxfId="1" priority="3" operator="lessThan">
      <formula>0</formula>
    </cfRule>
    <cfRule type="cellIs" dxfId="0" priority="4" operator="greaterThan">
      <formula>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Welcome</vt:lpstr>
      <vt:lpstr>Budget Tracker</vt:lpstr>
      <vt:lpstr>Data</vt:lpstr>
      <vt:lpstr>Keystone</vt:lpstr>
      <vt:lpstr>Monthly Figures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Stuart Grubb</cp:lastModifiedBy>
  <cp:revision>1</cp:revision>
  <dcterms:created xsi:type="dcterms:W3CDTF">2024-03-02T21:22:47Z</dcterms:created>
  <dcterms:modified xsi:type="dcterms:W3CDTF">2024-03-24T16:23:54Z</dcterms:modified>
  <cp:category/>
  <cp:contentStatus/>
</cp:coreProperties>
</file>